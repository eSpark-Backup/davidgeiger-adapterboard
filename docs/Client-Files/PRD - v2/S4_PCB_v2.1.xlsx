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\Desktop\"/>
    </mc:Choice>
  </mc:AlternateContent>
  <xr:revisionPtr revIDLastSave="0" documentId="13_ncr:1_{C787C92B-3A21-4AE1-934F-722BAEDDD826}" xr6:coauthVersionLast="47" xr6:coauthVersionMax="47" xr10:uidLastSave="{00000000-0000-0000-0000-000000000000}"/>
  <bookViews>
    <workbookView xWindow="-120" yWindow="-120" windowWidth="29040" windowHeight="15840" xr2:uid="{63B240A1-D5A9-4F8F-A2B9-604988D1F0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71" i="1" l="1"/>
  <c r="AT202" i="1"/>
  <c r="AT201" i="1"/>
  <c r="AT200" i="1"/>
  <c r="AT199" i="1"/>
  <c r="AT198" i="1"/>
  <c r="AT197" i="1"/>
  <c r="AT196" i="1"/>
  <c r="AT195" i="1"/>
  <c r="AT194" i="1"/>
  <c r="AT193" i="1"/>
  <c r="AT192" i="1"/>
  <c r="AT191" i="1"/>
  <c r="AT190" i="1"/>
  <c r="AT189" i="1"/>
  <c r="AT188" i="1"/>
  <c r="AT187" i="1"/>
  <c r="AT186" i="1"/>
  <c r="AT185" i="1"/>
  <c r="AT184" i="1"/>
  <c r="AT183" i="1"/>
  <c r="AT182" i="1"/>
  <c r="AT181" i="1"/>
  <c r="AT180" i="1"/>
  <c r="AT179" i="1"/>
  <c r="AT178" i="1"/>
  <c r="AT177" i="1"/>
  <c r="AT176" i="1"/>
  <c r="AT172" i="1"/>
  <c r="AT144" i="1"/>
  <c r="AT143" i="1"/>
  <c r="AN202" i="1"/>
  <c r="AN201" i="1"/>
  <c r="AN200" i="1"/>
  <c r="AN199" i="1"/>
  <c r="AN198" i="1"/>
  <c r="AN197" i="1"/>
  <c r="AN196" i="1"/>
  <c r="AN195" i="1"/>
  <c r="AN194" i="1"/>
  <c r="AN193" i="1"/>
  <c r="AN192" i="1"/>
  <c r="AN191" i="1"/>
  <c r="AN190" i="1"/>
  <c r="AN189" i="1"/>
  <c r="AN188" i="1"/>
  <c r="AN187" i="1"/>
  <c r="AN186" i="1"/>
  <c r="AN185" i="1"/>
  <c r="AN184" i="1"/>
  <c r="AN183" i="1"/>
  <c r="AN182" i="1"/>
  <c r="AN181" i="1"/>
  <c r="AN180" i="1"/>
  <c r="AN179" i="1"/>
  <c r="AN178" i="1"/>
  <c r="AN177" i="1"/>
  <c r="AN176" i="1"/>
  <c r="AN172" i="1"/>
  <c r="AN171" i="1"/>
  <c r="AN170" i="1"/>
  <c r="AN144" i="1"/>
  <c r="AN143" i="1"/>
  <c r="AH202" i="1"/>
  <c r="AH201" i="1"/>
  <c r="AH200" i="1"/>
  <c r="AH199" i="1"/>
  <c r="AH198" i="1"/>
  <c r="AH197" i="1"/>
  <c r="AH196" i="1"/>
  <c r="AH195" i="1"/>
  <c r="AH194" i="1"/>
  <c r="AH193" i="1"/>
  <c r="AH192" i="1"/>
  <c r="AH191" i="1"/>
  <c r="AH190" i="1"/>
  <c r="AH189" i="1"/>
  <c r="AH188" i="1"/>
  <c r="AH187" i="1"/>
  <c r="AH186" i="1"/>
  <c r="AH185" i="1"/>
  <c r="AH184" i="1"/>
  <c r="AH183" i="1"/>
  <c r="AH182" i="1"/>
  <c r="AH181" i="1"/>
  <c r="AH180" i="1"/>
  <c r="AH179" i="1"/>
  <c r="AH178" i="1"/>
  <c r="AH177" i="1"/>
  <c r="AH176" i="1"/>
  <c r="AH172" i="1"/>
  <c r="AH171" i="1"/>
  <c r="AH170" i="1"/>
  <c r="AH144" i="1"/>
  <c r="AH143" i="1"/>
  <c r="AH19" i="1"/>
  <c r="AH18" i="1"/>
  <c r="AW6" i="1"/>
  <c r="AX6" i="1" s="1"/>
  <c r="AX5" i="1"/>
  <c r="AQ6" i="1"/>
  <c r="AR6" i="1" s="1"/>
  <c r="AR5" i="1"/>
  <c r="AL5" i="1"/>
  <c r="AK6" i="1"/>
  <c r="AK7" i="1" s="1"/>
  <c r="AK8" i="1" s="1"/>
  <c r="AK9" i="1" s="1"/>
  <c r="AK10" i="1" s="1"/>
  <c r="AK11" i="1" s="1"/>
  <c r="AK12" i="1" s="1"/>
  <c r="AK13" i="1" s="1"/>
  <c r="AK14" i="1" s="1"/>
  <c r="AK15" i="1" s="1"/>
  <c r="AK16" i="1" s="1"/>
  <c r="AK17" i="1" s="1"/>
  <c r="AK18" i="1" s="1"/>
  <c r="AK19" i="1" s="1"/>
  <c r="AK20" i="1" s="1"/>
  <c r="AK21" i="1" s="1"/>
  <c r="AK22" i="1" s="1"/>
  <c r="AK23" i="1" s="1"/>
  <c r="AK24" i="1" s="1"/>
  <c r="AK25" i="1" s="1"/>
  <c r="AK26" i="1" s="1"/>
  <c r="AK27" i="1" s="1"/>
  <c r="AK28" i="1" s="1"/>
  <c r="AK29" i="1" s="1"/>
  <c r="AK30" i="1" s="1"/>
  <c r="AK31" i="1" s="1"/>
  <c r="AK32" i="1" s="1"/>
  <c r="AK33" i="1" s="1"/>
  <c r="AK34" i="1" s="1"/>
  <c r="AK35" i="1" s="1"/>
  <c r="AK36" i="1" s="1"/>
  <c r="AK37" i="1" s="1"/>
  <c r="AK38" i="1" s="1"/>
  <c r="AL38" i="1" s="1"/>
  <c r="AN70" i="1"/>
  <c r="AH70" i="1"/>
  <c r="AT142" i="1"/>
  <c r="AN142" i="1"/>
  <c r="AT141" i="1"/>
  <c r="AN141" i="1"/>
  <c r="AT140" i="1"/>
  <c r="AN140" i="1"/>
  <c r="AT139" i="1"/>
  <c r="AN139" i="1"/>
  <c r="AT138" i="1"/>
  <c r="AN138" i="1"/>
  <c r="AT137" i="1"/>
  <c r="AN137" i="1"/>
  <c r="AT136" i="1"/>
  <c r="AN136" i="1"/>
  <c r="AT135" i="1"/>
  <c r="AN135" i="1"/>
  <c r="AT134" i="1"/>
  <c r="AN134" i="1"/>
  <c r="AT133" i="1"/>
  <c r="AN133" i="1"/>
  <c r="AT132" i="1"/>
  <c r="AN132" i="1"/>
  <c r="AT131" i="1"/>
  <c r="AN131" i="1"/>
  <c r="AT130" i="1"/>
  <c r="AN130" i="1"/>
  <c r="AT129" i="1"/>
  <c r="AN129" i="1"/>
  <c r="AT128" i="1"/>
  <c r="AN128" i="1"/>
  <c r="AT127" i="1"/>
  <c r="AN127" i="1"/>
  <c r="AT126" i="1"/>
  <c r="AN126" i="1"/>
  <c r="AT125" i="1"/>
  <c r="AN125" i="1"/>
  <c r="AT124" i="1"/>
  <c r="AN124" i="1"/>
  <c r="AT123" i="1"/>
  <c r="AN123" i="1"/>
  <c r="AT122" i="1"/>
  <c r="AN122" i="1"/>
  <c r="AT121" i="1"/>
  <c r="AN121" i="1"/>
  <c r="AT120" i="1"/>
  <c r="AN120" i="1"/>
  <c r="AT119" i="1"/>
  <c r="AN119" i="1"/>
  <c r="AT118" i="1"/>
  <c r="AN118" i="1"/>
  <c r="AT117" i="1"/>
  <c r="AN117" i="1"/>
  <c r="AT116" i="1"/>
  <c r="AN116" i="1"/>
  <c r="AT115" i="1"/>
  <c r="AN115" i="1"/>
  <c r="AT114" i="1"/>
  <c r="AN114" i="1"/>
  <c r="AT113" i="1"/>
  <c r="AN113" i="1"/>
  <c r="AT112" i="1"/>
  <c r="AN112" i="1"/>
  <c r="AT111" i="1"/>
  <c r="AN111" i="1"/>
  <c r="AT110" i="1"/>
  <c r="AN110" i="1"/>
  <c r="AT109" i="1"/>
  <c r="AN109" i="1"/>
  <c r="AT108" i="1"/>
  <c r="AN108" i="1"/>
  <c r="AT107" i="1"/>
  <c r="AN107" i="1"/>
  <c r="AT106" i="1"/>
  <c r="AN106" i="1"/>
  <c r="AT105" i="1"/>
  <c r="AN105" i="1"/>
  <c r="AT104" i="1"/>
  <c r="AN104" i="1"/>
  <c r="AT103" i="1"/>
  <c r="AN103" i="1"/>
  <c r="AT102" i="1"/>
  <c r="AN102" i="1"/>
  <c r="AT101" i="1"/>
  <c r="AN101" i="1"/>
  <c r="AT100" i="1"/>
  <c r="AN100" i="1"/>
  <c r="AT99" i="1"/>
  <c r="AN99" i="1"/>
  <c r="AT98" i="1"/>
  <c r="AN98" i="1"/>
  <c r="AT97" i="1"/>
  <c r="AN97" i="1"/>
  <c r="AT96" i="1"/>
  <c r="AN96" i="1"/>
  <c r="AT95" i="1"/>
  <c r="AN95" i="1"/>
  <c r="AT94" i="1"/>
  <c r="AN94" i="1"/>
  <c r="AT93" i="1"/>
  <c r="AN93" i="1"/>
  <c r="AT92" i="1"/>
  <c r="AN92" i="1"/>
  <c r="AT91" i="1"/>
  <c r="AN91" i="1"/>
  <c r="AT90" i="1"/>
  <c r="AN90" i="1"/>
  <c r="AT89" i="1"/>
  <c r="AN89" i="1"/>
  <c r="AT88" i="1"/>
  <c r="AN88" i="1"/>
  <c r="AT87" i="1"/>
  <c r="AN87" i="1"/>
  <c r="AT86" i="1"/>
  <c r="AN86" i="1"/>
  <c r="AT85" i="1"/>
  <c r="AN85" i="1"/>
  <c r="AT84" i="1"/>
  <c r="AN84" i="1"/>
  <c r="AT83" i="1"/>
  <c r="AN83" i="1"/>
  <c r="AT82" i="1"/>
  <c r="AN82" i="1"/>
  <c r="AT81" i="1"/>
  <c r="AN81" i="1"/>
  <c r="AT80" i="1"/>
  <c r="AN80" i="1"/>
  <c r="AT79" i="1"/>
  <c r="AN79" i="1"/>
  <c r="AT78" i="1"/>
  <c r="AN78" i="1"/>
  <c r="AT77" i="1"/>
  <c r="AN77" i="1"/>
  <c r="AT76" i="1"/>
  <c r="AN76" i="1"/>
  <c r="AT75" i="1"/>
  <c r="AN75" i="1"/>
  <c r="AT74" i="1"/>
  <c r="AN74" i="1"/>
  <c r="AT73" i="1"/>
  <c r="AN73" i="1"/>
  <c r="AT72" i="1"/>
  <c r="AN72" i="1"/>
  <c r="AT71" i="1"/>
  <c r="AN71" i="1"/>
  <c r="AT70" i="1"/>
  <c r="AT69" i="1"/>
  <c r="AN69" i="1"/>
  <c r="AT68" i="1"/>
  <c r="AN68" i="1"/>
  <c r="AT67" i="1"/>
  <c r="AN67" i="1"/>
  <c r="AT66" i="1"/>
  <c r="AN66" i="1"/>
  <c r="AT65" i="1"/>
  <c r="AN65" i="1"/>
  <c r="AT64" i="1"/>
  <c r="AN64" i="1"/>
  <c r="AT63" i="1"/>
  <c r="AN63" i="1"/>
  <c r="AT62" i="1"/>
  <c r="AN62" i="1"/>
  <c r="AT61" i="1"/>
  <c r="AN61" i="1"/>
  <c r="AT60" i="1"/>
  <c r="AN60" i="1"/>
  <c r="AT59" i="1"/>
  <c r="AN59" i="1"/>
  <c r="AT58" i="1"/>
  <c r="AN58" i="1"/>
  <c r="AT57" i="1"/>
  <c r="AN57" i="1"/>
  <c r="AT56" i="1"/>
  <c r="AN56" i="1"/>
  <c r="AT55" i="1"/>
  <c r="AN55" i="1"/>
  <c r="AT54" i="1"/>
  <c r="AN54" i="1"/>
  <c r="AT53" i="1"/>
  <c r="AN53" i="1"/>
  <c r="AT52" i="1"/>
  <c r="AN52" i="1"/>
  <c r="AT51" i="1"/>
  <c r="AN51" i="1"/>
  <c r="AT50" i="1"/>
  <c r="AN50" i="1"/>
  <c r="AT49" i="1"/>
  <c r="AN49" i="1"/>
  <c r="AT48" i="1"/>
  <c r="AN48" i="1"/>
  <c r="AT47" i="1"/>
  <c r="AN47" i="1"/>
  <c r="AT46" i="1"/>
  <c r="AN46" i="1"/>
  <c r="AT45" i="1"/>
  <c r="AN45" i="1"/>
  <c r="AT44" i="1"/>
  <c r="AN44" i="1"/>
  <c r="AT43" i="1"/>
  <c r="AN43" i="1"/>
  <c r="AT42" i="1"/>
  <c r="AN42" i="1"/>
  <c r="AT41" i="1"/>
  <c r="AN41" i="1"/>
  <c r="AT40" i="1"/>
  <c r="AN40" i="1"/>
  <c r="AT39" i="1"/>
  <c r="AN39" i="1"/>
  <c r="AT38" i="1"/>
  <c r="AN38" i="1"/>
  <c r="AT37" i="1"/>
  <c r="AN37" i="1"/>
  <c r="AT36" i="1"/>
  <c r="AN36" i="1"/>
  <c r="AT35" i="1"/>
  <c r="AN35" i="1"/>
  <c r="AT34" i="1"/>
  <c r="AN34" i="1"/>
  <c r="AT33" i="1"/>
  <c r="AN33" i="1"/>
  <c r="AT32" i="1"/>
  <c r="AN32" i="1"/>
  <c r="AT31" i="1"/>
  <c r="AN31" i="1"/>
  <c r="AT30" i="1"/>
  <c r="AN30" i="1"/>
  <c r="AT29" i="1"/>
  <c r="AN29" i="1"/>
  <c r="AT28" i="1"/>
  <c r="AN28" i="1"/>
  <c r="AT27" i="1"/>
  <c r="AN27" i="1"/>
  <c r="AT26" i="1"/>
  <c r="AN26" i="1"/>
  <c r="AT25" i="1"/>
  <c r="AN25" i="1"/>
  <c r="AT24" i="1"/>
  <c r="AN24" i="1"/>
  <c r="AT23" i="1"/>
  <c r="AN23" i="1"/>
  <c r="AT22" i="1"/>
  <c r="AN22" i="1"/>
  <c r="AT21" i="1"/>
  <c r="AN21" i="1"/>
  <c r="AT20" i="1"/>
  <c r="AN20" i="1"/>
  <c r="AT19" i="1"/>
  <c r="AN19" i="1"/>
  <c r="AT18" i="1"/>
  <c r="AN18" i="1"/>
  <c r="AT17" i="1"/>
  <c r="AN17" i="1"/>
  <c r="AT16" i="1"/>
  <c r="AN16" i="1"/>
  <c r="AT15" i="1"/>
  <c r="AN15" i="1"/>
  <c r="AT14" i="1"/>
  <c r="AN14" i="1"/>
  <c r="AT13" i="1"/>
  <c r="AN13" i="1"/>
  <c r="AT12" i="1"/>
  <c r="AN12" i="1"/>
  <c r="AT11" i="1"/>
  <c r="AN11" i="1"/>
  <c r="AT10" i="1"/>
  <c r="AN10" i="1"/>
  <c r="AT9" i="1"/>
  <c r="AN9" i="1"/>
  <c r="AT8" i="1"/>
  <c r="AN8" i="1"/>
  <c r="AT7" i="1"/>
  <c r="AN7" i="1"/>
  <c r="AT6" i="1"/>
  <c r="AN6" i="1"/>
  <c r="AT5" i="1"/>
  <c r="AN5" i="1"/>
  <c r="AH142" i="1"/>
  <c r="AH141" i="1"/>
  <c r="AH140" i="1"/>
  <c r="AH139" i="1"/>
  <c r="AH138" i="1"/>
  <c r="AH137" i="1"/>
  <c r="AH136" i="1"/>
  <c r="AH135" i="1"/>
  <c r="AH134" i="1"/>
  <c r="AH133" i="1"/>
  <c r="AH132" i="1"/>
  <c r="AH131" i="1"/>
  <c r="AH130" i="1"/>
  <c r="AH129" i="1"/>
  <c r="AH128" i="1"/>
  <c r="AH127" i="1"/>
  <c r="AH126" i="1"/>
  <c r="AH125" i="1"/>
  <c r="AH124" i="1"/>
  <c r="AH123" i="1"/>
  <c r="AH122" i="1"/>
  <c r="AH121" i="1"/>
  <c r="AH120" i="1"/>
  <c r="AH119" i="1"/>
  <c r="AH118" i="1"/>
  <c r="AH117" i="1"/>
  <c r="AH116" i="1"/>
  <c r="AH115" i="1"/>
  <c r="AH114" i="1"/>
  <c r="AH113" i="1"/>
  <c r="AH112" i="1"/>
  <c r="AH111" i="1"/>
  <c r="AH110" i="1"/>
  <c r="AH109" i="1"/>
  <c r="AH108" i="1"/>
  <c r="AH107" i="1"/>
  <c r="AH106" i="1"/>
  <c r="AH105" i="1"/>
  <c r="AH104" i="1"/>
  <c r="AH103" i="1"/>
  <c r="AH102" i="1"/>
  <c r="AH101" i="1"/>
  <c r="AH100" i="1"/>
  <c r="AH99" i="1"/>
  <c r="AH98" i="1"/>
  <c r="AH97" i="1"/>
  <c r="AH96" i="1"/>
  <c r="AH95" i="1"/>
  <c r="AH94" i="1"/>
  <c r="AH93" i="1"/>
  <c r="AH92" i="1"/>
  <c r="AH91" i="1"/>
  <c r="AH90" i="1"/>
  <c r="AH89" i="1"/>
  <c r="AH88" i="1"/>
  <c r="AH87" i="1"/>
  <c r="AH86" i="1"/>
  <c r="AH85" i="1"/>
  <c r="AH84" i="1"/>
  <c r="AH83" i="1"/>
  <c r="AH82" i="1"/>
  <c r="AH81" i="1"/>
  <c r="AH80" i="1"/>
  <c r="AH79" i="1"/>
  <c r="AH78" i="1"/>
  <c r="AH77" i="1"/>
  <c r="AH76" i="1"/>
  <c r="AH75" i="1"/>
  <c r="AH74" i="1"/>
  <c r="AH73" i="1"/>
  <c r="AH72" i="1"/>
  <c r="AH71" i="1"/>
  <c r="AH69" i="1"/>
  <c r="AH68" i="1"/>
  <c r="AH67" i="1"/>
  <c r="AH66" i="1"/>
  <c r="AH65" i="1"/>
  <c r="AH64" i="1"/>
  <c r="AH63" i="1"/>
  <c r="AH62" i="1"/>
  <c r="AH61" i="1"/>
  <c r="AH60" i="1"/>
  <c r="AH59" i="1"/>
  <c r="AH58" i="1"/>
  <c r="AH57" i="1"/>
  <c r="AH56" i="1"/>
  <c r="AH55" i="1"/>
  <c r="AH54" i="1"/>
  <c r="AH53" i="1"/>
  <c r="AH52" i="1"/>
  <c r="AH51" i="1"/>
  <c r="AH50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AQ7" i="1" l="1"/>
  <c r="AW7" i="1"/>
  <c r="AX7" i="1" s="1"/>
  <c r="AL14" i="1"/>
  <c r="AL15" i="1"/>
  <c r="AL16" i="1"/>
  <c r="AL17" i="1"/>
  <c r="AL18" i="1"/>
  <c r="AL23" i="1"/>
  <c r="AL24" i="1"/>
  <c r="AL25" i="1"/>
  <c r="AL26" i="1"/>
  <c r="AL7" i="1"/>
  <c r="AL27" i="1"/>
  <c r="AL8" i="1"/>
  <c r="AL28" i="1"/>
  <c r="AL9" i="1"/>
  <c r="AL29" i="1"/>
  <c r="AL10" i="1"/>
  <c r="AL30" i="1"/>
  <c r="AL11" i="1"/>
  <c r="AL31" i="1"/>
  <c r="AL12" i="1"/>
  <c r="AL32" i="1"/>
  <c r="AL13" i="1"/>
  <c r="AL33" i="1"/>
  <c r="AL34" i="1"/>
  <c r="AL19" i="1"/>
  <c r="AL35" i="1"/>
  <c r="AL20" i="1"/>
  <c r="AL36" i="1"/>
  <c r="AL21" i="1"/>
  <c r="AL37" i="1"/>
  <c r="AL6" i="1"/>
  <c r="AL22" i="1"/>
  <c r="AW8" i="1" l="1"/>
  <c r="AX8" i="1" s="1"/>
  <c r="AQ8" i="1"/>
  <c r="AR7" i="1"/>
  <c r="AW9" i="1" l="1"/>
  <c r="AX9" i="1" s="1"/>
  <c r="AQ9" i="1"/>
  <c r="AR8" i="1"/>
  <c r="AW10" i="1" l="1"/>
  <c r="AX10" i="1" s="1"/>
  <c r="AQ10" i="1"/>
  <c r="AR9" i="1"/>
  <c r="AW11" i="1" l="1"/>
  <c r="AW12" i="1" s="1"/>
  <c r="AR10" i="1"/>
  <c r="AQ11" i="1"/>
  <c r="AX11" i="1" l="1"/>
  <c r="AQ12" i="1"/>
  <c r="AR11" i="1"/>
  <c r="AW13" i="1"/>
  <c r="AX12" i="1"/>
  <c r="AQ13" i="1" l="1"/>
  <c r="AR12" i="1"/>
  <c r="AW14" i="1"/>
  <c r="AX13" i="1"/>
  <c r="AR13" i="1" l="1"/>
  <c r="AQ14" i="1"/>
  <c r="AX14" i="1"/>
  <c r="AW15" i="1"/>
  <c r="AR14" i="1" l="1"/>
  <c r="AQ15" i="1"/>
  <c r="AW16" i="1"/>
  <c r="AX15" i="1"/>
  <c r="AQ16" i="1" l="1"/>
  <c r="AR15" i="1"/>
  <c r="AW17" i="1"/>
  <c r="AX16" i="1"/>
  <c r="AQ17" i="1" l="1"/>
  <c r="AR16" i="1"/>
  <c r="AW18" i="1"/>
  <c r="AX17" i="1"/>
  <c r="AQ18" i="1" l="1"/>
  <c r="AR17" i="1"/>
  <c r="AW19" i="1"/>
  <c r="AX18" i="1"/>
  <c r="AQ19" i="1" l="1"/>
  <c r="AR18" i="1"/>
  <c r="AX19" i="1"/>
  <c r="AW20" i="1"/>
  <c r="AQ20" i="1" l="1"/>
  <c r="AR19" i="1"/>
  <c r="AW21" i="1"/>
  <c r="AX20" i="1"/>
  <c r="AQ21" i="1" l="1"/>
  <c r="AR20" i="1"/>
  <c r="AW22" i="1"/>
  <c r="AX21" i="1"/>
  <c r="AQ22" i="1" l="1"/>
  <c r="AR21" i="1"/>
  <c r="AX22" i="1"/>
  <c r="AW23" i="1"/>
  <c r="AR22" i="1" l="1"/>
  <c r="AQ23" i="1"/>
  <c r="AX23" i="1"/>
  <c r="AW24" i="1"/>
  <c r="AQ24" i="1" l="1"/>
  <c r="AR23" i="1"/>
  <c r="AW25" i="1"/>
  <c r="AX24" i="1"/>
  <c r="AR24" i="1" l="1"/>
  <c r="AQ25" i="1"/>
  <c r="AX25" i="1"/>
  <c r="AW26" i="1"/>
  <c r="AQ26" i="1" l="1"/>
  <c r="AR25" i="1"/>
  <c r="AW27" i="1"/>
  <c r="AX26" i="1"/>
  <c r="AQ27" i="1" l="1"/>
  <c r="AR26" i="1"/>
  <c r="AX27" i="1"/>
  <c r="AW28" i="1"/>
  <c r="AQ28" i="1" l="1"/>
  <c r="AR27" i="1"/>
  <c r="AW29" i="1"/>
  <c r="AX28" i="1"/>
  <c r="AR28" i="1" l="1"/>
  <c r="AQ29" i="1"/>
  <c r="AW30" i="1"/>
  <c r="AX29" i="1"/>
  <c r="AQ30" i="1" l="1"/>
  <c r="AR29" i="1"/>
  <c r="AX30" i="1"/>
  <c r="AR30" i="1" l="1"/>
  <c r="AQ31" i="1"/>
  <c r="AR31" i="1" l="1"/>
  <c r="AQ32" i="1"/>
  <c r="AQ33" i="1" l="1"/>
  <c r="AR32" i="1"/>
  <c r="AR33" i="1" l="1"/>
  <c r="AQ34" i="1"/>
  <c r="AQ35" i="1" l="1"/>
  <c r="AR34" i="1"/>
  <c r="AQ36" i="1" l="1"/>
  <c r="AR35" i="1"/>
  <c r="AQ37" i="1" l="1"/>
  <c r="AR36" i="1"/>
  <c r="AQ38" i="1" l="1"/>
  <c r="AR38" i="1" s="1"/>
  <c r="AR37" i="1"/>
</calcChain>
</file>

<file path=xl/sharedStrings.xml><?xml version="1.0" encoding="utf-8"?>
<sst xmlns="http://schemas.openxmlformats.org/spreadsheetml/2006/main" count="552" uniqueCount="251">
  <si>
    <t>135 PIN Header:</t>
  </si>
  <si>
    <t>CON</t>
  </si>
  <si>
    <t>PIN</t>
  </si>
  <si>
    <t>Note:</t>
  </si>
  <si>
    <t>AMP Header A</t>
  </si>
  <si>
    <t>AMP Header B</t>
  </si>
  <si>
    <t>AMP Header C</t>
  </si>
  <si>
    <t>Stand Off Board</t>
  </si>
  <si>
    <t>A</t>
  </si>
  <si>
    <t>A19</t>
  </si>
  <si>
    <t>A20</t>
  </si>
  <si>
    <t>Battery Ground BUS - TIED INTO: A3, A4, A6, C4, D1, D3</t>
  </si>
  <si>
    <t>A10</t>
  </si>
  <si>
    <t>C2</t>
  </si>
  <si>
    <t>GND Pin</t>
  </si>
  <si>
    <t>12v Switched Power BUS - TIED INTO: A5, A7, A17, A34, B7, C1, D7</t>
  </si>
  <si>
    <t>NOT USED</t>
  </si>
  <si>
    <t>A1</t>
  </si>
  <si>
    <t>A2</t>
  </si>
  <si>
    <t>A3</t>
  </si>
  <si>
    <t>A4</t>
  </si>
  <si>
    <t>C</t>
  </si>
  <si>
    <t>A14</t>
  </si>
  <si>
    <t>B13</t>
  </si>
  <si>
    <t>B25</t>
  </si>
  <si>
    <t>C25</t>
  </si>
  <si>
    <t>A27</t>
  </si>
  <si>
    <t>A28</t>
  </si>
  <si>
    <t>A6</t>
  </si>
  <si>
    <t>A8</t>
  </si>
  <si>
    <t>A5</t>
  </si>
  <si>
    <t>A7</t>
  </si>
  <si>
    <t>A15</t>
  </si>
  <si>
    <t>B14</t>
  </si>
  <si>
    <t>B16</t>
  </si>
  <si>
    <t>C26</t>
  </si>
  <si>
    <t>A29</t>
  </si>
  <si>
    <t>A30</t>
  </si>
  <si>
    <t>A25</t>
  </si>
  <si>
    <t>B</t>
  </si>
  <si>
    <t>C1</t>
  </si>
  <si>
    <t>12V Pin</t>
  </si>
  <si>
    <t>A32</t>
  </si>
  <si>
    <t>A31</t>
  </si>
  <si>
    <t>A9</t>
  </si>
  <si>
    <t>A11</t>
  </si>
  <si>
    <t>A22</t>
  </si>
  <si>
    <t>APP2</t>
  </si>
  <si>
    <t>A33</t>
  </si>
  <si>
    <t>A12</t>
  </si>
  <si>
    <t>5V PIN</t>
  </si>
  <si>
    <t>AN6 Pin</t>
  </si>
  <si>
    <t>AN7 Pin</t>
  </si>
  <si>
    <t>OEM CAN High + 120 Ohm CAN Resistor TO C28</t>
  </si>
  <si>
    <t>A23</t>
  </si>
  <si>
    <t>AN3 Pin</t>
  </si>
  <si>
    <t>C13</t>
  </si>
  <si>
    <t>SEN GROUND PIN</t>
  </si>
  <si>
    <t>B8</t>
  </si>
  <si>
    <t>OEM CAN Low + 120 Ohm CAN Resistor TO C17</t>
  </si>
  <si>
    <t>A24</t>
  </si>
  <si>
    <t>A13</t>
  </si>
  <si>
    <t>B11</t>
  </si>
  <si>
    <t>A18</t>
  </si>
  <si>
    <t>D</t>
  </si>
  <si>
    <t>B23</t>
  </si>
  <si>
    <t>B20</t>
  </si>
  <si>
    <t>B27</t>
  </si>
  <si>
    <t>B28</t>
  </si>
  <si>
    <t>B3</t>
  </si>
  <si>
    <t>B1</t>
  </si>
  <si>
    <t>B10</t>
  </si>
  <si>
    <t>B12</t>
  </si>
  <si>
    <t>C20</t>
  </si>
  <si>
    <t>B5</t>
  </si>
  <si>
    <t>B2</t>
  </si>
  <si>
    <t>12V</t>
  </si>
  <si>
    <t xml:space="preserve">135H:B7 AND AMP:C1 </t>
  </si>
  <si>
    <t>GND</t>
  </si>
  <si>
    <t>SGND</t>
  </si>
  <si>
    <t xml:space="preserve">135H:C19 </t>
  </si>
  <si>
    <t>CANL</t>
  </si>
  <si>
    <t>AMP:B22 AND AMP:C3</t>
  </si>
  <si>
    <t>C3</t>
  </si>
  <si>
    <t>CANH</t>
  </si>
  <si>
    <t>AMP:B21 AND AMP:C4</t>
  </si>
  <si>
    <t>C4</t>
  </si>
  <si>
    <t>DTR</t>
  </si>
  <si>
    <t>TX</t>
  </si>
  <si>
    <t>C22</t>
  </si>
  <si>
    <t>RX</t>
  </si>
  <si>
    <t>C23</t>
  </si>
  <si>
    <t>D7</t>
  </si>
  <si>
    <t>AMP26 "C CONNECTOR"</t>
  </si>
  <si>
    <t>SSR GROUND OUTPUT FROM 135H:B9</t>
  </si>
  <si>
    <t>D0</t>
  </si>
  <si>
    <t>A0</t>
  </si>
  <si>
    <t>135H:D28</t>
  </si>
  <si>
    <t>CAN-L</t>
  </si>
  <si>
    <t>CAN-H</t>
  </si>
  <si>
    <t>DI2</t>
  </si>
  <si>
    <t>DI3</t>
  </si>
  <si>
    <t>DI4</t>
  </si>
  <si>
    <t>D1</t>
  </si>
  <si>
    <t>135H:C7</t>
  </si>
  <si>
    <t>SSR GROUND OUTPUT FROM 135H:C15</t>
  </si>
  <si>
    <t>135H:C18</t>
  </si>
  <si>
    <t>135H:C16</t>
  </si>
  <si>
    <t>135H:C29</t>
  </si>
  <si>
    <t>135H:D29</t>
  </si>
  <si>
    <t>135H:D23</t>
  </si>
  <si>
    <t>135H:A14</t>
  </si>
  <si>
    <t>135H:A15</t>
  </si>
  <si>
    <t>135H:C35</t>
  </si>
  <si>
    <t>D2</t>
  </si>
  <si>
    <t>C5</t>
  </si>
  <si>
    <t>135H:C21</t>
  </si>
  <si>
    <t>AMP:B17</t>
  </si>
  <si>
    <t>AMP:B18</t>
  </si>
  <si>
    <t>AMP:B6</t>
  </si>
  <si>
    <t>AMP:B7</t>
  </si>
  <si>
    <t>AMP:A17</t>
  </si>
  <si>
    <t>D3</t>
  </si>
  <si>
    <t>C6</t>
  </si>
  <si>
    <t>D4</t>
  </si>
  <si>
    <t>C7</t>
  </si>
  <si>
    <t>5V</t>
  </si>
  <si>
    <t>5v</t>
  </si>
  <si>
    <t>5VOLT SUPPLY</t>
  </si>
  <si>
    <t>C21</t>
  </si>
  <si>
    <t>135H:A19</t>
  </si>
  <si>
    <t>135H:A29</t>
  </si>
  <si>
    <t>135H:C12</t>
  </si>
  <si>
    <t>135H:C13</t>
  </si>
  <si>
    <t>D5</t>
  </si>
  <si>
    <t>D6</t>
  </si>
  <si>
    <t>OUT3</t>
  </si>
  <si>
    <t>135H:D15</t>
  </si>
  <si>
    <t>OUT2</t>
  </si>
  <si>
    <t>135H:D6</t>
  </si>
  <si>
    <t>OUT1</t>
  </si>
  <si>
    <t>135H:B32</t>
  </si>
  <si>
    <t>Desired Layout:</t>
  </si>
  <si>
    <t>C8</t>
  </si>
  <si>
    <t>C12</t>
  </si>
  <si>
    <t>AMP:A16</t>
  </si>
  <si>
    <t>B15</t>
  </si>
  <si>
    <t>Newest Revision Changes in Yellow</t>
  </si>
  <si>
    <t>Revision Date:</t>
  </si>
  <si>
    <t>BATTERY PERMANENT POWER - 12v AT ALL TIMES</t>
  </si>
  <si>
    <t>B19</t>
  </si>
  <si>
    <t>A Connector Check</t>
  </si>
  <si>
    <t>B Connector Check</t>
  </si>
  <si>
    <t>C Connector Check</t>
  </si>
  <si>
    <t>34 PIN</t>
  </si>
  <si>
    <t>B26</t>
  </si>
  <si>
    <t>16+17 Exh Cam</t>
  </si>
  <si>
    <t>26 Ign Power</t>
  </si>
  <si>
    <t>A Connector NA</t>
  </si>
  <si>
    <t>B Connector NA</t>
  </si>
  <si>
    <t>C Connector NA</t>
  </si>
  <si>
    <t>4 Cam Home-</t>
  </si>
  <si>
    <t>9 sen8v</t>
  </si>
  <si>
    <t>24 knock 2</t>
  </si>
  <si>
    <t xml:space="preserve"> </t>
  </si>
  <si>
    <t>Wideband</t>
  </si>
  <si>
    <t>6+7 Exh Cam</t>
  </si>
  <si>
    <t>17 Push Start</t>
  </si>
  <si>
    <t>18 AC Request</t>
  </si>
  <si>
    <t>B22</t>
  </si>
  <si>
    <t>B21</t>
  </si>
  <si>
    <t>C9</t>
  </si>
  <si>
    <t>C10</t>
  </si>
  <si>
    <t>C11</t>
  </si>
  <si>
    <t>Jumper</t>
  </si>
  <si>
    <t>Revision:</t>
  </si>
  <si>
    <t>v2.1</t>
  </si>
  <si>
    <r>
      <rPr>
        <b/>
        <strike/>
        <sz val="11"/>
        <color theme="1"/>
        <rFont val="Aptos Narrow"/>
        <family val="2"/>
        <scheme val="minor"/>
      </rPr>
      <t>A21</t>
    </r>
    <r>
      <rPr>
        <b/>
        <sz val="11"/>
        <color theme="1"/>
        <rFont val="Aptos Narrow"/>
        <family val="2"/>
        <scheme val="minor"/>
      </rPr>
      <t xml:space="preserve"> A34</t>
    </r>
  </si>
  <si>
    <r>
      <rPr>
        <b/>
        <strike/>
        <sz val="11"/>
        <color theme="1"/>
        <rFont val="Aptos Narrow"/>
        <family val="2"/>
        <scheme val="minor"/>
      </rPr>
      <t>A34</t>
    </r>
    <r>
      <rPr>
        <b/>
        <sz val="11"/>
        <color theme="1"/>
        <rFont val="Aptos Narrow"/>
        <family val="2"/>
        <scheme val="minor"/>
      </rPr>
      <t xml:space="preserve"> A21</t>
    </r>
  </si>
  <si>
    <t>***Planned from testing with NANO***</t>
  </si>
  <si>
    <t>REMOVE THESE - NO LONGER USED</t>
  </si>
  <si>
    <r>
      <t>135H:A3 AND AMP:C2</t>
    </r>
    <r>
      <rPr>
        <b/>
        <strike/>
        <sz val="11"/>
        <color theme="1"/>
        <rFont val="Aptos Narrow"/>
        <family val="2"/>
        <scheme val="minor"/>
      </rPr>
      <t xml:space="preserve"> + C24</t>
    </r>
  </si>
  <si>
    <r>
      <t xml:space="preserve">C2  </t>
    </r>
    <r>
      <rPr>
        <b/>
        <strike/>
        <sz val="11"/>
        <color theme="1"/>
        <rFont val="Aptos Narrow"/>
        <family val="2"/>
        <scheme val="minor"/>
      </rPr>
      <t>+ C24</t>
    </r>
  </si>
  <si>
    <t>Powersteering Sw</t>
  </si>
  <si>
    <t>AC PSI Sw</t>
  </si>
  <si>
    <t>Brake Sw</t>
  </si>
  <si>
    <t>Clutch Sw</t>
  </si>
  <si>
    <t>Rear o2#2</t>
  </si>
  <si>
    <t>Front o2</t>
  </si>
  <si>
    <t>Neut Sw</t>
  </si>
  <si>
    <t>Cruise Com</t>
  </si>
  <si>
    <t>Cruise Main</t>
  </si>
  <si>
    <t>Purge 1</t>
  </si>
  <si>
    <t>Purge 2</t>
  </si>
  <si>
    <t>Accy Cut</t>
  </si>
  <si>
    <r>
      <t xml:space="preserve">5v ECU Bus 1 - TIED INTO: A19 + B21 + B22 - </t>
    </r>
    <r>
      <rPr>
        <b/>
        <sz val="11"/>
        <color theme="1"/>
        <rFont val="Aptos Narrow"/>
        <family val="2"/>
        <scheme val="minor"/>
      </rPr>
      <t>ADDED C5 + C6</t>
    </r>
  </si>
  <si>
    <r>
      <t>Sensor Ground Bus A - TIED INTO:  A29, B29, B30, C10, C11, D8, D30, D31</t>
    </r>
    <r>
      <rPr>
        <b/>
        <sz val="11"/>
        <color theme="1"/>
        <rFont val="Aptos Narrow"/>
        <family val="2"/>
        <scheme val="minor"/>
      </rPr>
      <t xml:space="preserve"> - Added C19</t>
    </r>
  </si>
  <si>
    <r>
      <rPr>
        <b/>
        <strike/>
        <sz val="11"/>
        <color theme="1"/>
        <rFont val="Aptos Narrow"/>
        <family val="2"/>
        <scheme val="minor"/>
      </rPr>
      <t>B20</t>
    </r>
    <r>
      <rPr>
        <b/>
        <sz val="11"/>
        <color theme="1"/>
        <rFont val="Aptos Narrow"/>
        <family val="2"/>
        <scheme val="minor"/>
      </rPr>
      <t xml:space="preserve"> B18</t>
    </r>
  </si>
  <si>
    <t>ARDUINO CAN Based Expansion  - SEE BELOW FOR OLD CAN BOARD INFO IF NEEDED FOR REMOVAL</t>
  </si>
  <si>
    <t>OLD CAN CHECKED BOARD LAYOUT:</t>
  </si>
  <si>
    <t>Proposed "NEW" C Connector Layout - See Below for OLD Layout</t>
  </si>
  <si>
    <t>OLD C CONNECTOR:</t>
  </si>
  <si>
    <t>C14</t>
  </si>
  <si>
    <t>135H:B15</t>
  </si>
  <si>
    <t>Tach Output</t>
  </si>
  <si>
    <t>135H: B6</t>
  </si>
  <si>
    <t>Rear O2 2nd Wire</t>
  </si>
  <si>
    <t>AMP: A9</t>
  </si>
  <si>
    <t>DPO 1 Tach</t>
  </si>
  <si>
    <t>135H: B33</t>
  </si>
  <si>
    <t>MIL (2011 Only)</t>
  </si>
  <si>
    <t>AMP:A33</t>
  </si>
  <si>
    <t>Ignition 7</t>
  </si>
  <si>
    <t>D8</t>
  </si>
  <si>
    <t>EXPANDER</t>
  </si>
  <si>
    <t>C24</t>
  </si>
  <si>
    <t>Accy Cut Relay</t>
  </si>
  <si>
    <r>
      <t>D-1 Pin</t>
    </r>
    <r>
      <rPr>
        <b/>
        <sz val="11"/>
        <color theme="1"/>
        <rFont val="Aptos Narrow"/>
        <family val="2"/>
        <scheme val="minor"/>
      </rPr>
      <t xml:space="preserve"> Remove</t>
    </r>
  </si>
  <si>
    <r>
      <rPr>
        <b/>
        <strike/>
        <sz val="11"/>
        <color theme="1"/>
        <rFont val="Aptos Narrow"/>
        <family val="2"/>
        <scheme val="minor"/>
      </rPr>
      <t>AN4 Pin</t>
    </r>
    <r>
      <rPr>
        <b/>
        <sz val="11"/>
        <color theme="1"/>
        <rFont val="Aptos Narrow"/>
        <family val="2"/>
        <scheme val="minor"/>
      </rPr>
      <t xml:space="preserve"> Remove</t>
    </r>
  </si>
  <si>
    <t>EXPAND-A2</t>
  </si>
  <si>
    <r>
      <rPr>
        <b/>
        <strike/>
        <sz val="11"/>
        <color theme="1"/>
        <rFont val="Aptos Narrow"/>
        <family val="2"/>
        <scheme val="minor"/>
      </rPr>
      <t>AN0 Pin</t>
    </r>
    <r>
      <rPr>
        <b/>
        <sz val="11"/>
        <color theme="1"/>
        <rFont val="Aptos Narrow"/>
        <family val="2"/>
        <scheme val="minor"/>
      </rPr>
      <t xml:space="preserve"> REMOVE</t>
    </r>
  </si>
  <si>
    <r>
      <rPr>
        <b/>
        <strike/>
        <sz val="11"/>
        <color theme="1"/>
        <rFont val="Aptos Narrow"/>
        <family val="2"/>
        <scheme val="minor"/>
      </rPr>
      <t>AN5 Pin</t>
    </r>
    <r>
      <rPr>
        <b/>
        <sz val="11"/>
        <color theme="1"/>
        <rFont val="Aptos Narrow"/>
        <family val="2"/>
        <scheme val="minor"/>
      </rPr>
      <t xml:space="preserve"> REMOVE</t>
    </r>
  </si>
  <si>
    <t>INPUT IS 12V</t>
  </si>
  <si>
    <r>
      <t>135H:B6</t>
    </r>
    <r>
      <rPr>
        <b/>
        <strike/>
        <sz val="11"/>
        <color theme="1"/>
        <rFont val="Aptos Narrow"/>
        <family val="2"/>
        <scheme val="minor"/>
      </rPr>
      <t xml:space="preserve"> - CHANGED TO ANALOG INPUT</t>
    </r>
  </si>
  <si>
    <t>Spare Analog Input - Not Used Currently</t>
  </si>
  <si>
    <t>Spare Digital Input - Not Used Currently</t>
  </si>
  <si>
    <t>D9</t>
  </si>
  <si>
    <t>SPARE - Output 1 - Not Used Currently</t>
  </si>
  <si>
    <t>SPARE - Output 2 - Not Used Currently</t>
  </si>
  <si>
    <t>SPARE - Output 3 - Not Used Currently</t>
  </si>
  <si>
    <t>SPARE - Output 4 - Not Used Currently</t>
  </si>
  <si>
    <t>CS Pin for MCP2515</t>
  </si>
  <si>
    <r>
      <t>Analog Pin 5 -</t>
    </r>
    <r>
      <rPr>
        <b/>
        <sz val="11"/>
        <color theme="1"/>
        <rFont val="Aptos Narrow"/>
        <family val="2"/>
        <scheme val="minor"/>
      </rPr>
      <t xml:space="preserve"> connect to GROUND</t>
    </r>
  </si>
  <si>
    <t>SCK MCP2515</t>
  </si>
  <si>
    <t>D11</t>
  </si>
  <si>
    <t>D13</t>
  </si>
  <si>
    <t>SI MCP2515</t>
  </si>
  <si>
    <t xml:space="preserve">INT for MCP2515 </t>
  </si>
  <si>
    <t>SO MCP2515</t>
  </si>
  <si>
    <t>D12</t>
  </si>
  <si>
    <t>D10</t>
  </si>
  <si>
    <t>Version 1 Completed Layout Changes:</t>
  </si>
  <si>
    <t>Replace CAN Checked Add on Board with Arduino Based Product</t>
  </si>
  <si>
    <t>If possible maintain the current PCB dimensions and Main Header Locations</t>
  </si>
  <si>
    <t xml:space="preserve">Mounting Holes in current open areas, near the corners if possible. </t>
  </si>
  <si>
    <t>Replace  Can Checked Hardware in similar location if possible</t>
  </si>
  <si>
    <t>135H:C13 - NEEDS CIRCUIT PROTECTION FOR INPUT to ~16volt</t>
  </si>
  <si>
    <t>135H:C12 - NEEDS CIRCUIT PROTECTION FOR INPUT to ~16volt</t>
  </si>
  <si>
    <t>Header C7 - NEEDS CIRCUIT PROTECTION FOR INPUT to ~16volt</t>
  </si>
  <si>
    <t>12v Signal from OEM 135H:C15 - NEEDS CIRCUIT PROTECTION FOR INPUT to ~16volt</t>
  </si>
  <si>
    <t>12v Signal from OEM 135H:B9 - NEEDS CIRCUIT PROTECTION FOR INPUT to ~16volt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</si>
</sst>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1D1C1D"/>
      <name val="Arial"/>
      <family val="2"/>
    </font>
    <font>
      <u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trike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7AF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DCA5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1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2" borderId="0" xfId="0" applyFill="1"/>
    <xf numFmtId="0" fontId="1" fillId="0" borderId="5" xfId="0" applyFont="1" applyBorder="1" applyAlignment="1">
      <alignment horizontal="center"/>
    </xf>
    <xf numFmtId="0" fontId="3" fillId="3" borderId="0" xfId="0" applyFont="1" applyFill="1"/>
    <xf numFmtId="0" fontId="0" fillId="4" borderId="0" xfId="0" applyFill="1"/>
    <xf numFmtId="0" fontId="0" fillId="5" borderId="0" xfId="0" applyFill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3" borderId="7" xfId="0" applyFont="1" applyFill="1" applyBorder="1"/>
    <xf numFmtId="0" fontId="1" fillId="0" borderId="7" xfId="0" applyFont="1" applyBorder="1" applyAlignment="1">
      <alignment horizontal="center"/>
    </xf>
    <xf numFmtId="0" fontId="0" fillId="0" borderId="8" xfId="0" applyBorder="1"/>
    <xf numFmtId="0" fontId="4" fillId="0" borderId="0" xfId="0" applyFont="1"/>
    <xf numFmtId="0" fontId="0" fillId="0" borderId="7" xfId="0" applyBorder="1"/>
    <xf numFmtId="0" fontId="3" fillId="3" borderId="2" xfId="0" applyFont="1" applyFill="1" applyBorder="1"/>
    <xf numFmtId="0" fontId="4" fillId="6" borderId="0" xfId="0" applyFont="1" applyFill="1"/>
    <xf numFmtId="0" fontId="1" fillId="0" borderId="8" xfId="0" applyFont="1" applyBorder="1" applyAlignment="1">
      <alignment horizontal="center"/>
    </xf>
    <xf numFmtId="0" fontId="0" fillId="2" borderId="2" xfId="0" applyFill="1" applyBorder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/>
    <xf numFmtId="0" fontId="0" fillId="0" borderId="4" xfId="0" applyBorder="1"/>
    <xf numFmtId="0" fontId="0" fillId="0" borderId="9" xfId="0" applyBorder="1"/>
    <xf numFmtId="0" fontId="0" fillId="0" borderId="9" xfId="0" applyBorder="1" applyAlignment="1">
      <alignment horizontal="center"/>
    </xf>
    <xf numFmtId="0" fontId="0" fillId="7" borderId="9" xfId="0" applyFill="1" applyBorder="1"/>
    <xf numFmtId="0" fontId="0" fillId="8" borderId="9" xfId="0" applyFill="1" applyBorder="1"/>
    <xf numFmtId="0" fontId="0" fillId="9" borderId="9" xfId="0" applyFill="1" applyBorder="1"/>
    <xf numFmtId="0" fontId="0" fillId="10" borderId="9" xfId="0" applyFill="1" applyBorder="1"/>
    <xf numFmtId="0" fontId="0" fillId="11" borderId="9" xfId="0" applyFill="1" applyBorder="1"/>
    <xf numFmtId="0" fontId="0" fillId="12" borderId="9" xfId="0" applyFill="1" applyBorder="1"/>
    <xf numFmtId="0" fontId="0" fillId="4" borderId="9" xfId="0" applyFill="1" applyBorder="1"/>
    <xf numFmtId="0" fontId="0" fillId="0" borderId="6" xfId="0" applyBorder="1"/>
    <xf numFmtId="0" fontId="6" fillId="0" borderId="0" xfId="1" applyAlignment="1">
      <alignment horizontal="center"/>
    </xf>
    <xf numFmtId="0" fontId="6" fillId="0" borderId="0" xfId="1"/>
    <xf numFmtId="0" fontId="7" fillId="0" borderId="0" xfId="0" applyFont="1"/>
    <xf numFmtId="0" fontId="8" fillId="0" borderId="0" xfId="0" applyFont="1"/>
    <xf numFmtId="0" fontId="1" fillId="13" borderId="0" xfId="0" applyFont="1" applyFill="1" applyAlignment="1">
      <alignment horizontal="center"/>
    </xf>
    <xf numFmtId="0" fontId="0" fillId="13" borderId="10" xfId="0" applyFill="1" applyBorder="1"/>
    <xf numFmtId="0" fontId="1" fillId="13" borderId="1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1" fillId="13" borderId="12" xfId="0" applyFont="1" applyFill="1" applyBorder="1"/>
    <xf numFmtId="164" fontId="1" fillId="0" borderId="3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0" xfId="0" applyFont="1"/>
    <xf numFmtId="0" fontId="1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center"/>
    </xf>
    <xf numFmtId="14" fontId="1" fillId="0" borderId="0" xfId="0" applyNumberFormat="1" applyFont="1"/>
    <xf numFmtId="0" fontId="0" fillId="14" borderId="9" xfId="0" applyFill="1" applyBorder="1" applyAlignment="1">
      <alignment horizontal="center"/>
    </xf>
    <xf numFmtId="0" fontId="9" fillId="15" borderId="9" xfId="0" applyFont="1" applyFill="1" applyBorder="1" applyAlignment="1">
      <alignment horizontal="center"/>
    </xf>
    <xf numFmtId="0" fontId="0" fillId="16" borderId="9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13" borderId="0" xfId="0" applyFill="1"/>
    <xf numFmtId="0" fontId="1" fillId="13" borderId="5" xfId="0" applyFont="1" applyFill="1" applyBorder="1" applyAlignment="1">
      <alignment horizontal="center"/>
    </xf>
    <xf numFmtId="0" fontId="11" fillId="13" borderId="4" xfId="0" applyFont="1" applyFill="1" applyBorder="1" applyAlignment="1">
      <alignment horizontal="center"/>
    </xf>
    <xf numFmtId="0" fontId="11" fillId="13" borderId="0" xfId="0" applyFont="1" applyFill="1" applyAlignment="1">
      <alignment horizontal="center"/>
    </xf>
    <xf numFmtId="0" fontId="11" fillId="13" borderId="0" xfId="0" applyFont="1" applyFill="1"/>
    <xf numFmtId="0" fontId="10" fillId="13" borderId="0" xfId="0" applyFont="1" applyFill="1" applyAlignment="1">
      <alignment horizontal="center"/>
    </xf>
    <xf numFmtId="0" fontId="10" fillId="13" borderId="5" xfId="0" applyFont="1" applyFill="1" applyBorder="1" applyAlignment="1">
      <alignment horizontal="center"/>
    </xf>
    <xf numFmtId="0" fontId="0" fillId="13" borderId="9" xfId="0" applyFill="1" applyBorder="1" applyAlignment="1">
      <alignment horizontal="center"/>
    </xf>
    <xf numFmtId="0" fontId="0" fillId="2" borderId="9" xfId="0" applyFill="1" applyBorder="1"/>
    <xf numFmtId="0" fontId="11" fillId="13" borderId="9" xfId="0" applyFont="1" applyFill="1" applyBorder="1"/>
    <xf numFmtId="0" fontId="11" fillId="13" borderId="9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2" fillId="0" borderId="0" xfId="0" applyFont="1"/>
    <xf numFmtId="0" fontId="2" fillId="0" borderId="0" xfId="0" applyFont="1" applyAlignment="1">
      <alignment horizontal="center"/>
    </xf>
    <xf numFmtId="0" fontId="0" fillId="0" borderId="0" xfId="0" applyFont="1" applyBorder="1" applyAlignment="1">
      <alignment horizontal="left"/>
    </xf>
    <xf numFmtId="0" fontId="0" fillId="7" borderId="10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0" fillId="12" borderId="9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17" borderId="9" xfId="0" applyFill="1" applyBorder="1" applyAlignment="1">
      <alignment horizontal="center"/>
    </xf>
    <xf numFmtId="0" fontId="15" fillId="13" borderId="5" xfId="0" applyFont="1" applyFill="1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0" fontId="1" fillId="13" borderId="8" xfId="0" applyFont="1" applyFill="1" applyBorder="1" applyAlignment="1">
      <alignment horizontal="center"/>
    </xf>
    <xf numFmtId="0" fontId="1" fillId="13" borderId="0" xfId="0" applyFont="1" applyFill="1" applyAlignment="1">
      <alignment horizontal="left"/>
    </xf>
    <xf numFmtId="0" fontId="11" fillId="13" borderId="7" xfId="0" applyFont="1" applyFill="1" applyBorder="1"/>
    <xf numFmtId="0" fontId="1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0" fontId="0" fillId="13" borderId="0" xfId="0" applyFill="1" applyBorder="1"/>
    <xf numFmtId="0" fontId="0" fillId="0" borderId="0" xfId="0" applyFont="1" applyBorder="1"/>
    <xf numFmtId="0" fontId="1" fillId="0" borderId="4" xfId="0" applyFont="1" applyBorder="1" applyAlignment="1">
      <alignment horizontal="left"/>
    </xf>
    <xf numFmtId="0" fontId="0" fillId="0" borderId="0" xfId="0" applyBorder="1"/>
    <xf numFmtId="0" fontId="13" fillId="0" borderId="4" xfId="0" applyFont="1" applyBorder="1" applyAlignment="1">
      <alignment horizontal="center"/>
    </xf>
    <xf numFmtId="0" fontId="1" fillId="0" borderId="0" xfId="0" applyFont="1" applyBorder="1"/>
    <xf numFmtId="0" fontId="14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0" fillId="0" borderId="7" xfId="0" applyFont="1" applyBorder="1" applyAlignment="1">
      <alignment horizontal="left"/>
    </xf>
    <xf numFmtId="0" fontId="0" fillId="13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DCA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11</xdr:row>
      <xdr:rowOff>0</xdr:rowOff>
    </xdr:from>
    <xdr:to>
      <xdr:col>22</xdr:col>
      <xdr:colOff>364412</xdr:colOff>
      <xdr:row>42</xdr:row>
      <xdr:rowOff>84976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E05AAB9-F06D-8F8D-9C40-47B01BB2A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47294" y="2140324"/>
          <a:ext cx="7200000" cy="5990476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70051-EE6D-4B39-8079-4EFA1B92622E}">
  <dimension ref="B2:AX207"/>
  <sheetViews>
    <sheetView tabSelected="1" zoomScale="85" zoomScaleNormal="85" workbookViewId="0">
      <selection activeCell="H11" sqref="H11"/>
    </sheetView>
  </sheetViews>
  <sheetFormatPr defaultRowHeight="15" x14ac:dyDescent="0.25"/>
  <cols>
    <col min="1" max="1" width="2" customWidth="1"/>
    <col min="2" max="2" width="6.140625" style="2" customWidth="1"/>
    <col min="3" max="3" width="5.5703125" style="2" customWidth="1"/>
    <col min="4" max="4" width="69.42578125" customWidth="1"/>
    <col min="5" max="5" width="2.28515625" style="2" customWidth="1"/>
    <col min="6" max="8" width="14.7109375" style="3" customWidth="1"/>
    <col min="9" max="9" width="16.7109375" customWidth="1"/>
    <col min="10" max="10" width="12.7109375" customWidth="1"/>
    <col min="11" max="11" width="3.42578125" customWidth="1"/>
    <col min="13" max="13" width="10.28515625" customWidth="1"/>
    <col min="17" max="17" width="9.5703125" bestFit="1" customWidth="1"/>
    <col min="20" max="20" width="10" customWidth="1"/>
    <col min="34" max="34" width="9.140625" style="2"/>
    <col min="35" max="35" width="1.140625" style="2" customWidth="1"/>
    <col min="36" max="36" width="9.140625" style="2"/>
    <col min="37" max="37" width="6.28515625" style="2" customWidth="1"/>
    <col min="38" max="38" width="9.140625" style="3"/>
    <col min="39" max="40" width="9.140625" style="2"/>
    <col min="41" max="41" width="1.140625" style="2" customWidth="1"/>
    <col min="42" max="42" width="9.140625" style="2"/>
    <col min="43" max="43" width="6.28515625" style="2" customWidth="1"/>
    <col min="44" max="44" width="9.140625" style="3"/>
    <col min="45" max="46" width="9.140625" style="2"/>
    <col min="47" max="47" width="1.140625" style="2" customWidth="1"/>
    <col min="48" max="48" width="9.140625" style="2"/>
    <col min="49" max="49" width="6.28515625" style="2" customWidth="1"/>
    <col min="50" max="50" width="9.140625" style="3"/>
  </cols>
  <sheetData>
    <row r="2" spans="2:50" x14ac:dyDescent="0.25">
      <c r="B2" s="1" t="s">
        <v>0</v>
      </c>
      <c r="E2"/>
      <c r="F2" s="47"/>
      <c r="G2" s="48" t="s">
        <v>147</v>
      </c>
      <c r="H2" s="50"/>
      <c r="I2" s="61" t="s">
        <v>148</v>
      </c>
      <c r="J2" s="62">
        <v>45569</v>
      </c>
      <c r="K2" s="1"/>
      <c r="L2" s="61" t="s">
        <v>175</v>
      </c>
      <c r="M2" s="63" t="s">
        <v>176</v>
      </c>
    </row>
    <row r="4" spans="2:50" ht="18.75" x14ac:dyDescent="0.3">
      <c r="B4" s="2" t="s">
        <v>1</v>
      </c>
      <c r="C4" s="2" t="s">
        <v>2</v>
      </c>
      <c r="D4" s="2" t="s">
        <v>3</v>
      </c>
      <c r="F4" s="3" t="s">
        <v>4</v>
      </c>
      <c r="G4" s="3" t="s">
        <v>5</v>
      </c>
      <c r="H4" s="3" t="s">
        <v>6</v>
      </c>
      <c r="I4" s="3" t="s">
        <v>7</v>
      </c>
      <c r="L4" s="4" t="s">
        <v>142</v>
      </c>
      <c r="Q4" s="49"/>
      <c r="AI4" s="3" t="s">
        <v>151</v>
      </c>
      <c r="AK4" s="2" t="s">
        <v>154</v>
      </c>
      <c r="AO4" s="3" t="s">
        <v>152</v>
      </c>
      <c r="AQ4" s="2" t="s">
        <v>154</v>
      </c>
      <c r="AU4" s="3" t="s">
        <v>153</v>
      </c>
      <c r="AW4" s="2" t="s">
        <v>154</v>
      </c>
    </row>
    <row r="5" spans="2:50" x14ac:dyDescent="0.25">
      <c r="B5" s="5" t="s">
        <v>8</v>
      </c>
      <c r="C5" s="6">
        <v>1</v>
      </c>
      <c r="D5" s="7"/>
      <c r="E5" s="6"/>
      <c r="F5" s="8" t="s">
        <v>9</v>
      </c>
      <c r="G5" s="8"/>
      <c r="H5" s="8"/>
      <c r="I5" s="9"/>
      <c r="AH5" s="2" t="str">
        <f t="shared" ref="AH5:AH36" si="0">F5</f>
        <v>A19</v>
      </c>
      <c r="AJ5" s="5">
        <v>1</v>
      </c>
      <c r="AK5" s="6">
        <v>1</v>
      </c>
      <c r="AL5" s="51">
        <f>AK5-AJ5</f>
        <v>0</v>
      </c>
      <c r="AN5" s="2">
        <f t="shared" ref="AN5:AN68" si="1">G5</f>
        <v>0</v>
      </c>
      <c r="AP5" s="5">
        <v>1</v>
      </c>
      <c r="AQ5" s="6">
        <v>1</v>
      </c>
      <c r="AR5" s="51">
        <f>AQ5-AP5</f>
        <v>0</v>
      </c>
      <c r="AT5" s="2">
        <f t="shared" ref="AT5:AT68" si="2">H5</f>
        <v>0</v>
      </c>
      <c r="AV5" s="5">
        <v>1</v>
      </c>
      <c r="AW5" s="6">
        <v>1</v>
      </c>
      <c r="AX5" s="51">
        <f t="shared" ref="AX5:AX24" si="3">AW5-AV5</f>
        <v>0</v>
      </c>
    </row>
    <row r="6" spans="2:50" x14ac:dyDescent="0.25">
      <c r="B6" s="10" t="s">
        <v>8</v>
      </c>
      <c r="C6" s="2">
        <v>2</v>
      </c>
      <c r="F6" s="3" t="s">
        <v>10</v>
      </c>
      <c r="I6" s="11"/>
      <c r="L6" s="1" t="s">
        <v>241</v>
      </c>
      <c r="O6" s="3"/>
      <c r="R6" s="3"/>
      <c r="S6" s="3"/>
      <c r="T6" s="3"/>
      <c r="U6" s="3"/>
      <c r="AH6" s="2" t="str">
        <f t="shared" si="0"/>
        <v>A20</v>
      </c>
      <c r="AJ6" s="10">
        <v>2</v>
      </c>
      <c r="AK6" s="2">
        <f>AK5+1</f>
        <v>2</v>
      </c>
      <c r="AL6" s="52">
        <f t="shared" ref="AL6:AL38" si="4">AK6-AJ6</f>
        <v>0</v>
      </c>
      <c r="AN6" s="2">
        <f t="shared" si="1"/>
        <v>0</v>
      </c>
      <c r="AP6" s="10">
        <v>2</v>
      </c>
      <c r="AQ6" s="2">
        <f>AQ5+1</f>
        <v>2</v>
      </c>
      <c r="AR6" s="52">
        <f t="shared" ref="AR6:AR38" si="5">AQ6-AP6</f>
        <v>0</v>
      </c>
      <c r="AT6" s="2">
        <f t="shared" si="2"/>
        <v>0</v>
      </c>
      <c r="AV6" s="10">
        <v>2</v>
      </c>
      <c r="AW6" s="2">
        <f>AW5+1</f>
        <v>2</v>
      </c>
      <c r="AX6" s="52">
        <f t="shared" si="3"/>
        <v>0</v>
      </c>
    </row>
    <row r="7" spans="2:50" x14ac:dyDescent="0.25">
      <c r="B7" s="10" t="s">
        <v>8</v>
      </c>
      <c r="C7" s="2">
        <v>3</v>
      </c>
      <c r="D7" s="12" t="s">
        <v>11</v>
      </c>
      <c r="F7" s="3" t="s">
        <v>12</v>
      </c>
      <c r="H7" s="3" t="s">
        <v>13</v>
      </c>
      <c r="I7" s="13" t="s">
        <v>14</v>
      </c>
      <c r="M7" s="110" t="b">
        <v>1</v>
      </c>
      <c r="N7" t="s">
        <v>244</v>
      </c>
      <c r="O7" s="3"/>
      <c r="U7" s="3"/>
      <c r="AH7" s="2" t="str">
        <f t="shared" si="0"/>
        <v>A10</v>
      </c>
      <c r="AJ7" s="10">
        <v>3</v>
      </c>
      <c r="AK7" s="2">
        <f t="shared" ref="AK7:AK38" si="6">AK6+1</f>
        <v>3</v>
      </c>
      <c r="AL7" s="52">
        <f t="shared" si="4"/>
        <v>0</v>
      </c>
      <c r="AN7" s="2">
        <f t="shared" si="1"/>
        <v>0</v>
      </c>
      <c r="AP7" s="10">
        <v>3</v>
      </c>
      <c r="AQ7" s="2">
        <f t="shared" ref="AQ7:AQ38" si="7">AQ6+1</f>
        <v>3</v>
      </c>
      <c r="AR7" s="52">
        <f t="shared" si="5"/>
        <v>0</v>
      </c>
      <c r="AT7" s="2" t="str">
        <f t="shared" si="2"/>
        <v>C2</v>
      </c>
      <c r="AV7" s="10">
        <v>3</v>
      </c>
      <c r="AW7" s="2">
        <f t="shared" ref="AW7:AW30" si="8">AW6+1</f>
        <v>3</v>
      </c>
      <c r="AX7" s="52">
        <f t="shared" si="3"/>
        <v>0</v>
      </c>
    </row>
    <row r="8" spans="2:50" x14ac:dyDescent="0.25">
      <c r="B8" s="10" t="s">
        <v>8</v>
      </c>
      <c r="C8" s="2">
        <v>4</v>
      </c>
      <c r="D8" s="12" t="s">
        <v>11</v>
      </c>
      <c r="I8" s="13"/>
      <c r="M8" s="110" t="b">
        <v>1</v>
      </c>
      <c r="N8" t="s">
        <v>242</v>
      </c>
      <c r="O8" s="3"/>
      <c r="U8" s="3"/>
      <c r="AH8" s="2">
        <f t="shared" si="0"/>
        <v>0</v>
      </c>
      <c r="AJ8" s="10">
        <v>4</v>
      </c>
      <c r="AK8" s="2">
        <f t="shared" si="6"/>
        <v>4</v>
      </c>
      <c r="AL8" s="52">
        <f t="shared" si="4"/>
        <v>0</v>
      </c>
      <c r="AN8" s="2">
        <f t="shared" si="1"/>
        <v>0</v>
      </c>
      <c r="AP8" s="54">
        <v>4</v>
      </c>
      <c r="AQ8" s="2">
        <f t="shared" si="7"/>
        <v>4</v>
      </c>
      <c r="AR8" s="52">
        <f t="shared" si="5"/>
        <v>0</v>
      </c>
      <c r="AT8" s="2">
        <f t="shared" si="2"/>
        <v>0</v>
      </c>
      <c r="AV8" s="10">
        <v>4</v>
      </c>
      <c r="AW8" s="2">
        <f t="shared" si="8"/>
        <v>4</v>
      </c>
      <c r="AX8" s="52">
        <f t="shared" si="3"/>
        <v>0</v>
      </c>
    </row>
    <row r="9" spans="2:50" x14ac:dyDescent="0.25">
      <c r="B9" s="10" t="s">
        <v>8</v>
      </c>
      <c r="C9" s="2">
        <v>5</v>
      </c>
      <c r="D9" s="14" t="s">
        <v>15</v>
      </c>
      <c r="I9" s="11"/>
      <c r="M9" s="110" t="b">
        <v>1</v>
      </c>
      <c r="N9" t="s">
        <v>245</v>
      </c>
      <c r="AH9" s="2">
        <f t="shared" si="0"/>
        <v>0</v>
      </c>
      <c r="AJ9" s="10">
        <v>5</v>
      </c>
      <c r="AK9" s="2">
        <f t="shared" si="6"/>
        <v>5</v>
      </c>
      <c r="AL9" s="52">
        <f t="shared" si="4"/>
        <v>0</v>
      </c>
      <c r="AN9" s="2">
        <f t="shared" si="1"/>
        <v>0</v>
      </c>
      <c r="AP9" s="10">
        <v>5</v>
      </c>
      <c r="AQ9" s="2">
        <f t="shared" si="7"/>
        <v>5</v>
      </c>
      <c r="AR9" s="52">
        <f t="shared" si="5"/>
        <v>0</v>
      </c>
      <c r="AT9" s="2">
        <f t="shared" si="2"/>
        <v>0</v>
      </c>
      <c r="AV9" s="57">
        <v>5</v>
      </c>
      <c r="AW9" s="2">
        <f t="shared" si="8"/>
        <v>5</v>
      </c>
      <c r="AX9" s="52">
        <f t="shared" si="3"/>
        <v>0</v>
      </c>
    </row>
    <row r="10" spans="2:50" x14ac:dyDescent="0.25">
      <c r="B10" s="10" t="s">
        <v>8</v>
      </c>
      <c r="C10" s="2">
        <v>6</v>
      </c>
      <c r="D10" s="12" t="s">
        <v>11</v>
      </c>
      <c r="I10" s="11"/>
      <c r="M10" s="110" t="b">
        <v>1</v>
      </c>
      <c r="N10" t="s">
        <v>243</v>
      </c>
      <c r="AH10" s="2">
        <f t="shared" si="0"/>
        <v>0</v>
      </c>
      <c r="AJ10" s="10">
        <v>6</v>
      </c>
      <c r="AK10" s="2">
        <f t="shared" si="6"/>
        <v>6</v>
      </c>
      <c r="AL10" s="52">
        <f t="shared" si="4"/>
        <v>0</v>
      </c>
      <c r="AN10" s="2">
        <f t="shared" si="1"/>
        <v>0</v>
      </c>
      <c r="AP10" s="54">
        <v>6</v>
      </c>
      <c r="AQ10" s="2">
        <f t="shared" si="7"/>
        <v>6</v>
      </c>
      <c r="AR10" s="52">
        <f t="shared" si="5"/>
        <v>0</v>
      </c>
      <c r="AT10" s="2">
        <f t="shared" si="2"/>
        <v>0</v>
      </c>
      <c r="AV10" s="10">
        <v>6</v>
      </c>
      <c r="AW10" s="2">
        <f t="shared" si="8"/>
        <v>6</v>
      </c>
      <c r="AX10" s="52">
        <f t="shared" si="3"/>
        <v>0</v>
      </c>
    </row>
    <row r="11" spans="2:50" x14ac:dyDescent="0.25">
      <c r="B11" s="10" t="s">
        <v>8</v>
      </c>
      <c r="C11" s="2">
        <v>7</v>
      </c>
      <c r="D11" s="14" t="s">
        <v>15</v>
      </c>
      <c r="I11" s="11"/>
      <c r="AH11" s="2">
        <f t="shared" si="0"/>
        <v>0</v>
      </c>
      <c r="AJ11" s="10">
        <v>7</v>
      </c>
      <c r="AK11" s="2">
        <f t="shared" si="6"/>
        <v>7</v>
      </c>
      <c r="AL11" s="52">
        <f t="shared" si="4"/>
        <v>0</v>
      </c>
      <c r="AN11" s="2">
        <f t="shared" si="1"/>
        <v>0</v>
      </c>
      <c r="AP11" s="54">
        <v>7</v>
      </c>
      <c r="AQ11" s="2">
        <f t="shared" si="7"/>
        <v>7</v>
      </c>
      <c r="AR11" s="52">
        <f t="shared" si="5"/>
        <v>0</v>
      </c>
      <c r="AT11" s="2">
        <f t="shared" si="2"/>
        <v>0</v>
      </c>
      <c r="AV11" s="10">
        <v>7</v>
      </c>
      <c r="AW11" s="2">
        <f t="shared" si="8"/>
        <v>7</v>
      </c>
      <c r="AX11" s="52">
        <f t="shared" si="3"/>
        <v>0</v>
      </c>
    </row>
    <row r="12" spans="2:50" x14ac:dyDescent="0.25">
      <c r="B12" s="10" t="s">
        <v>8</v>
      </c>
      <c r="C12" s="2">
        <v>8</v>
      </c>
      <c r="D12" s="3" t="s">
        <v>16</v>
      </c>
      <c r="I12" s="11"/>
      <c r="AH12" s="2">
        <f t="shared" si="0"/>
        <v>0</v>
      </c>
      <c r="AJ12" s="10">
        <v>8</v>
      </c>
      <c r="AK12" s="2">
        <f t="shared" si="6"/>
        <v>8</v>
      </c>
      <c r="AL12" s="52">
        <f t="shared" si="4"/>
        <v>0</v>
      </c>
      <c r="AN12" s="2">
        <f t="shared" si="1"/>
        <v>0</v>
      </c>
      <c r="AP12" s="10">
        <v>8</v>
      </c>
      <c r="AQ12" s="2">
        <f t="shared" si="7"/>
        <v>8</v>
      </c>
      <c r="AR12" s="52">
        <f t="shared" si="5"/>
        <v>0</v>
      </c>
      <c r="AT12" s="2">
        <f t="shared" si="2"/>
        <v>0</v>
      </c>
      <c r="AV12" s="10">
        <v>8</v>
      </c>
      <c r="AW12" s="2">
        <f t="shared" si="8"/>
        <v>8</v>
      </c>
      <c r="AX12" s="52">
        <f t="shared" si="3"/>
        <v>0</v>
      </c>
    </row>
    <row r="13" spans="2:50" x14ac:dyDescent="0.25">
      <c r="B13" s="10" t="s">
        <v>8</v>
      </c>
      <c r="C13" s="2">
        <v>9</v>
      </c>
      <c r="D13" s="3" t="s">
        <v>16</v>
      </c>
      <c r="I13" s="11"/>
      <c r="AH13" s="2">
        <f t="shared" si="0"/>
        <v>0</v>
      </c>
      <c r="AJ13" s="10">
        <v>9</v>
      </c>
      <c r="AK13" s="2">
        <f t="shared" si="6"/>
        <v>9</v>
      </c>
      <c r="AL13" s="52">
        <f t="shared" si="4"/>
        <v>0</v>
      </c>
      <c r="AN13" s="2">
        <f t="shared" si="1"/>
        <v>0</v>
      </c>
      <c r="AP13" s="54">
        <v>9</v>
      </c>
      <c r="AQ13" s="2">
        <f t="shared" si="7"/>
        <v>9</v>
      </c>
      <c r="AR13" s="52">
        <f t="shared" si="5"/>
        <v>0</v>
      </c>
      <c r="AT13" s="2">
        <f t="shared" si="2"/>
        <v>0</v>
      </c>
      <c r="AV13" s="10">
        <v>9</v>
      </c>
      <c r="AW13" s="2">
        <f t="shared" si="8"/>
        <v>9</v>
      </c>
      <c r="AX13" s="52">
        <f t="shared" si="3"/>
        <v>0</v>
      </c>
    </row>
    <row r="14" spans="2:50" x14ac:dyDescent="0.25">
      <c r="B14" s="10" t="s">
        <v>8</v>
      </c>
      <c r="C14" s="2">
        <v>10</v>
      </c>
      <c r="F14" s="3" t="s">
        <v>17</v>
      </c>
      <c r="I14" s="11"/>
      <c r="AE14" s="1" t="s">
        <v>158</v>
      </c>
      <c r="AH14" s="2" t="str">
        <f t="shared" si="0"/>
        <v>A1</v>
      </c>
      <c r="AJ14" s="10">
        <v>10</v>
      </c>
      <c r="AK14" s="2">
        <f t="shared" si="6"/>
        <v>10</v>
      </c>
      <c r="AL14" s="52">
        <f t="shared" si="4"/>
        <v>0</v>
      </c>
      <c r="AN14" s="2">
        <f t="shared" si="1"/>
        <v>0</v>
      </c>
      <c r="AP14" s="10">
        <v>10</v>
      </c>
      <c r="AQ14" s="2">
        <f t="shared" si="7"/>
        <v>10</v>
      </c>
      <c r="AR14" s="52">
        <f t="shared" si="5"/>
        <v>0</v>
      </c>
      <c r="AT14" s="2">
        <f t="shared" si="2"/>
        <v>0</v>
      </c>
      <c r="AV14" s="10">
        <v>10</v>
      </c>
      <c r="AW14" s="2">
        <f t="shared" si="8"/>
        <v>10</v>
      </c>
      <c r="AX14" s="52">
        <f t="shared" si="3"/>
        <v>0</v>
      </c>
    </row>
    <row r="15" spans="2:50" x14ac:dyDescent="0.25">
      <c r="B15" s="10" t="s">
        <v>8</v>
      </c>
      <c r="C15" s="2">
        <v>11</v>
      </c>
      <c r="F15" s="3" t="s">
        <v>18</v>
      </c>
      <c r="I15" s="11"/>
      <c r="AE15" s="58">
        <v>16</v>
      </c>
      <c r="AF15" s="56" t="s">
        <v>156</v>
      </c>
      <c r="AH15" s="2" t="str">
        <f t="shared" si="0"/>
        <v>A2</v>
      </c>
      <c r="AJ15" s="10">
        <v>11</v>
      </c>
      <c r="AK15" s="2">
        <f t="shared" si="6"/>
        <v>11</v>
      </c>
      <c r="AL15" s="52">
        <f t="shared" si="4"/>
        <v>0</v>
      </c>
      <c r="AN15" s="2">
        <f t="shared" si="1"/>
        <v>0</v>
      </c>
      <c r="AP15" s="10">
        <v>11</v>
      </c>
      <c r="AQ15" s="2">
        <f t="shared" si="7"/>
        <v>11</v>
      </c>
      <c r="AR15" s="52">
        <f t="shared" si="5"/>
        <v>0</v>
      </c>
      <c r="AT15" s="2">
        <f t="shared" si="2"/>
        <v>0</v>
      </c>
      <c r="AV15" s="10">
        <v>11</v>
      </c>
      <c r="AW15" s="2">
        <f t="shared" si="8"/>
        <v>11</v>
      </c>
      <c r="AX15" s="52">
        <f t="shared" si="3"/>
        <v>0</v>
      </c>
    </row>
    <row r="16" spans="2:50" x14ac:dyDescent="0.25">
      <c r="B16" s="10" t="s">
        <v>8</v>
      </c>
      <c r="C16" s="2">
        <v>12</v>
      </c>
      <c r="F16" s="3" t="s">
        <v>19</v>
      </c>
      <c r="I16" s="11"/>
      <c r="AE16" s="58">
        <v>17</v>
      </c>
      <c r="AF16" s="56" t="s">
        <v>156</v>
      </c>
      <c r="AH16" s="2" t="str">
        <f t="shared" si="0"/>
        <v>A3</v>
      </c>
      <c r="AJ16" s="10">
        <v>12</v>
      </c>
      <c r="AK16" s="2">
        <f t="shared" si="6"/>
        <v>12</v>
      </c>
      <c r="AL16" s="52">
        <f t="shared" si="4"/>
        <v>0</v>
      </c>
      <c r="AN16" s="2">
        <f t="shared" si="1"/>
        <v>0</v>
      </c>
      <c r="AP16" s="10">
        <v>12</v>
      </c>
      <c r="AQ16" s="2">
        <f t="shared" si="7"/>
        <v>12</v>
      </c>
      <c r="AR16" s="52">
        <f t="shared" si="5"/>
        <v>0</v>
      </c>
      <c r="AT16" s="2">
        <f t="shared" si="2"/>
        <v>0</v>
      </c>
      <c r="AV16" s="10">
        <v>12</v>
      </c>
      <c r="AW16" s="2">
        <f t="shared" si="8"/>
        <v>12</v>
      </c>
      <c r="AX16" s="52">
        <f t="shared" si="3"/>
        <v>0</v>
      </c>
    </row>
    <row r="17" spans="2:50" x14ac:dyDescent="0.25">
      <c r="B17" s="10" t="s">
        <v>8</v>
      </c>
      <c r="C17" s="2">
        <v>13</v>
      </c>
      <c r="F17" s="3" t="s">
        <v>20</v>
      </c>
      <c r="I17" s="11"/>
      <c r="AE17" s="58">
        <v>26</v>
      </c>
      <c r="AF17" s="56" t="s">
        <v>157</v>
      </c>
      <c r="AH17" s="2" t="str">
        <f t="shared" si="0"/>
        <v>A4</v>
      </c>
      <c r="AJ17" s="10">
        <v>13</v>
      </c>
      <c r="AK17" s="2">
        <f t="shared" si="6"/>
        <v>13</v>
      </c>
      <c r="AL17" s="52">
        <f t="shared" si="4"/>
        <v>0</v>
      </c>
      <c r="AN17" s="2">
        <f t="shared" si="1"/>
        <v>0</v>
      </c>
      <c r="AP17" s="54">
        <v>13</v>
      </c>
      <c r="AQ17" s="2">
        <f t="shared" si="7"/>
        <v>13</v>
      </c>
      <c r="AR17" s="52">
        <f t="shared" si="5"/>
        <v>0</v>
      </c>
      <c r="AT17" s="2">
        <f t="shared" si="2"/>
        <v>0</v>
      </c>
      <c r="AV17" s="10">
        <v>13</v>
      </c>
      <c r="AW17" s="2">
        <f t="shared" si="8"/>
        <v>13</v>
      </c>
      <c r="AX17" s="52">
        <f t="shared" si="3"/>
        <v>0</v>
      </c>
    </row>
    <row r="18" spans="2:50" x14ac:dyDescent="0.25">
      <c r="B18" s="10" t="s">
        <v>8</v>
      </c>
      <c r="C18" s="2">
        <v>14</v>
      </c>
      <c r="H18" s="3" t="s">
        <v>144</v>
      </c>
      <c r="I18" s="11"/>
      <c r="AH18" s="2">
        <f t="shared" si="0"/>
        <v>0</v>
      </c>
      <c r="AJ18" s="10">
        <v>14</v>
      </c>
      <c r="AK18" s="2">
        <f t="shared" si="6"/>
        <v>14</v>
      </c>
      <c r="AL18" s="52">
        <f t="shared" si="4"/>
        <v>0</v>
      </c>
      <c r="AN18" s="2">
        <f t="shared" si="1"/>
        <v>0</v>
      </c>
      <c r="AP18" s="54">
        <v>14</v>
      </c>
      <c r="AQ18" s="2">
        <f t="shared" si="7"/>
        <v>14</v>
      </c>
      <c r="AR18" s="52">
        <f t="shared" si="5"/>
        <v>0</v>
      </c>
      <c r="AT18" s="2" t="str">
        <f t="shared" si="2"/>
        <v>C12</v>
      </c>
      <c r="AV18" s="54">
        <v>14</v>
      </c>
      <c r="AW18" s="2">
        <f t="shared" si="8"/>
        <v>14</v>
      </c>
      <c r="AX18" s="52">
        <f t="shared" si="3"/>
        <v>0</v>
      </c>
    </row>
    <row r="19" spans="2:50" x14ac:dyDescent="0.25">
      <c r="B19" s="10" t="s">
        <v>8</v>
      </c>
      <c r="C19" s="2">
        <v>15</v>
      </c>
      <c r="H19" s="3" t="s">
        <v>56</v>
      </c>
      <c r="I19" s="11"/>
      <c r="AE19" s="1" t="s">
        <v>159</v>
      </c>
      <c r="AH19" s="2">
        <f t="shared" si="0"/>
        <v>0</v>
      </c>
      <c r="AJ19" s="10">
        <v>15</v>
      </c>
      <c r="AK19" s="2">
        <f t="shared" si="6"/>
        <v>15</v>
      </c>
      <c r="AL19" s="52">
        <f t="shared" si="4"/>
        <v>0</v>
      </c>
      <c r="AN19" s="2">
        <f t="shared" si="1"/>
        <v>0</v>
      </c>
      <c r="AP19" s="10">
        <v>15</v>
      </c>
      <c r="AQ19" s="2">
        <f t="shared" si="7"/>
        <v>15</v>
      </c>
      <c r="AR19" s="52">
        <f t="shared" si="5"/>
        <v>0</v>
      </c>
      <c r="AT19" s="2" t="str">
        <f t="shared" si="2"/>
        <v>C13</v>
      </c>
      <c r="AV19" s="54">
        <v>15</v>
      </c>
      <c r="AW19" s="2">
        <f t="shared" si="8"/>
        <v>15</v>
      </c>
      <c r="AX19" s="52">
        <f t="shared" si="3"/>
        <v>0</v>
      </c>
    </row>
    <row r="20" spans="2:50" x14ac:dyDescent="0.25">
      <c r="B20" s="10" t="s">
        <v>8</v>
      </c>
      <c r="C20" s="2">
        <v>16</v>
      </c>
      <c r="F20" s="3" t="s">
        <v>22</v>
      </c>
      <c r="I20" s="11"/>
      <c r="AE20" s="58">
        <v>4</v>
      </c>
      <c r="AF20" s="56" t="s">
        <v>161</v>
      </c>
      <c r="AH20" s="2" t="str">
        <f t="shared" si="0"/>
        <v>A14</v>
      </c>
      <c r="AJ20" s="54">
        <v>16</v>
      </c>
      <c r="AK20" s="2">
        <f t="shared" si="6"/>
        <v>16</v>
      </c>
      <c r="AL20" s="52">
        <f t="shared" si="4"/>
        <v>0</v>
      </c>
      <c r="AN20" s="2">
        <f t="shared" si="1"/>
        <v>0</v>
      </c>
      <c r="AP20" s="10">
        <v>16</v>
      </c>
      <c r="AQ20" s="2">
        <f t="shared" si="7"/>
        <v>16</v>
      </c>
      <c r="AR20" s="52">
        <f t="shared" si="5"/>
        <v>0</v>
      </c>
      <c r="AT20" s="2">
        <f t="shared" si="2"/>
        <v>0</v>
      </c>
      <c r="AV20" s="54">
        <v>16</v>
      </c>
      <c r="AW20" s="2">
        <f t="shared" si="8"/>
        <v>16</v>
      </c>
      <c r="AX20" s="52">
        <f t="shared" si="3"/>
        <v>0</v>
      </c>
    </row>
    <row r="21" spans="2:50" x14ac:dyDescent="0.25">
      <c r="B21" s="10" t="s">
        <v>8</v>
      </c>
      <c r="C21" s="2">
        <v>17</v>
      </c>
      <c r="D21" s="14" t="s">
        <v>15</v>
      </c>
      <c r="I21" s="11"/>
      <c r="AE21" s="58">
        <v>6</v>
      </c>
      <c r="AF21" s="56" t="s">
        <v>166</v>
      </c>
      <c r="AH21" s="2">
        <f t="shared" si="0"/>
        <v>0</v>
      </c>
      <c r="AJ21" s="54">
        <v>17</v>
      </c>
      <c r="AK21" s="2">
        <f t="shared" si="6"/>
        <v>17</v>
      </c>
      <c r="AL21" s="52">
        <f t="shared" si="4"/>
        <v>0</v>
      </c>
      <c r="AN21" s="2">
        <f t="shared" si="1"/>
        <v>0</v>
      </c>
      <c r="AP21" s="54">
        <v>17</v>
      </c>
      <c r="AQ21" s="2">
        <f t="shared" si="7"/>
        <v>17</v>
      </c>
      <c r="AR21" s="52">
        <f t="shared" si="5"/>
        <v>0</v>
      </c>
      <c r="AT21" s="2">
        <f t="shared" si="2"/>
        <v>0</v>
      </c>
      <c r="AV21" s="54">
        <v>17</v>
      </c>
      <c r="AW21" s="2">
        <f t="shared" si="8"/>
        <v>17</v>
      </c>
      <c r="AX21" s="52">
        <f t="shared" si="3"/>
        <v>0</v>
      </c>
    </row>
    <row r="22" spans="2:50" x14ac:dyDescent="0.25">
      <c r="B22" s="10" t="s">
        <v>8</v>
      </c>
      <c r="C22" s="2">
        <v>18</v>
      </c>
      <c r="G22" s="3" t="s">
        <v>23</v>
      </c>
      <c r="I22" s="11"/>
      <c r="AE22" s="58">
        <v>7</v>
      </c>
      <c r="AH22" s="2">
        <f t="shared" si="0"/>
        <v>0</v>
      </c>
      <c r="AJ22" s="10">
        <v>18</v>
      </c>
      <c r="AK22" s="2">
        <f t="shared" si="6"/>
        <v>18</v>
      </c>
      <c r="AL22" s="52">
        <f t="shared" si="4"/>
        <v>0</v>
      </c>
      <c r="AN22" s="2" t="str">
        <f t="shared" si="1"/>
        <v>B13</v>
      </c>
      <c r="AP22" s="54">
        <v>18</v>
      </c>
      <c r="AQ22" s="2">
        <f t="shared" si="7"/>
        <v>18</v>
      </c>
      <c r="AR22" s="52">
        <f t="shared" si="5"/>
        <v>0</v>
      </c>
      <c r="AT22" s="2">
        <f t="shared" si="2"/>
        <v>0</v>
      </c>
      <c r="AV22" s="54">
        <v>18</v>
      </c>
      <c r="AW22" s="2">
        <f t="shared" si="8"/>
        <v>18</v>
      </c>
      <c r="AX22" s="52">
        <f t="shared" si="3"/>
        <v>0</v>
      </c>
    </row>
    <row r="23" spans="2:50" x14ac:dyDescent="0.25">
      <c r="B23" s="10" t="s">
        <v>8</v>
      </c>
      <c r="C23" s="2">
        <v>19</v>
      </c>
      <c r="D23" s="15" t="s">
        <v>195</v>
      </c>
      <c r="G23" s="3" t="s">
        <v>24</v>
      </c>
      <c r="H23" s="3" t="s">
        <v>25</v>
      </c>
      <c r="I23" s="11"/>
      <c r="AC23" t="s">
        <v>164</v>
      </c>
      <c r="AE23" s="58">
        <v>17</v>
      </c>
      <c r="AF23" s="56" t="s">
        <v>167</v>
      </c>
      <c r="AH23" s="2">
        <f t="shared" si="0"/>
        <v>0</v>
      </c>
      <c r="AJ23" s="10">
        <v>19</v>
      </c>
      <c r="AK23" s="2">
        <f t="shared" si="6"/>
        <v>19</v>
      </c>
      <c r="AL23" s="52">
        <f t="shared" si="4"/>
        <v>0</v>
      </c>
      <c r="AN23" s="2" t="str">
        <f t="shared" si="1"/>
        <v>B25</v>
      </c>
      <c r="AP23" s="10">
        <v>19</v>
      </c>
      <c r="AQ23" s="2">
        <f t="shared" si="7"/>
        <v>19</v>
      </c>
      <c r="AR23" s="52">
        <f t="shared" si="5"/>
        <v>0</v>
      </c>
      <c r="AT23" s="2" t="str">
        <f t="shared" si="2"/>
        <v>C25</v>
      </c>
      <c r="AV23" s="54">
        <v>19</v>
      </c>
      <c r="AW23" s="2">
        <f t="shared" si="8"/>
        <v>19</v>
      </c>
      <c r="AX23" s="52">
        <f t="shared" si="3"/>
        <v>0</v>
      </c>
    </row>
    <row r="24" spans="2:50" x14ac:dyDescent="0.25">
      <c r="B24" s="10" t="s">
        <v>8</v>
      </c>
      <c r="C24" s="2">
        <v>20</v>
      </c>
      <c r="D24" s="3" t="s">
        <v>16</v>
      </c>
      <c r="I24" s="11"/>
      <c r="T24" s="2"/>
      <c r="U24" s="2"/>
      <c r="AE24" s="58">
        <v>18</v>
      </c>
      <c r="AF24" s="56" t="s">
        <v>168</v>
      </c>
      <c r="AH24" s="2">
        <f t="shared" si="0"/>
        <v>0</v>
      </c>
      <c r="AJ24" s="10">
        <v>20</v>
      </c>
      <c r="AK24" s="2">
        <f t="shared" si="6"/>
        <v>20</v>
      </c>
      <c r="AL24" s="52">
        <f t="shared" si="4"/>
        <v>0</v>
      </c>
      <c r="AN24" s="2">
        <f t="shared" si="1"/>
        <v>0</v>
      </c>
      <c r="AP24" s="10">
        <v>20</v>
      </c>
      <c r="AQ24" s="2">
        <f t="shared" si="7"/>
        <v>20</v>
      </c>
      <c r="AR24" s="52">
        <f t="shared" si="5"/>
        <v>0</v>
      </c>
      <c r="AT24" s="2">
        <f t="shared" si="2"/>
        <v>0</v>
      </c>
      <c r="AV24" s="10">
        <v>20</v>
      </c>
      <c r="AW24" s="2">
        <f t="shared" si="8"/>
        <v>20</v>
      </c>
      <c r="AX24" s="52">
        <f t="shared" si="3"/>
        <v>0</v>
      </c>
    </row>
    <row r="25" spans="2:50" x14ac:dyDescent="0.25">
      <c r="B25" s="10" t="s">
        <v>8</v>
      </c>
      <c r="C25" s="2">
        <v>21</v>
      </c>
      <c r="F25" s="3" t="s">
        <v>26</v>
      </c>
      <c r="I25" s="11"/>
      <c r="T25" s="2"/>
      <c r="U25" s="2"/>
      <c r="AE25" s="58">
        <v>9</v>
      </c>
      <c r="AF25" s="56" t="s">
        <v>162</v>
      </c>
      <c r="AH25" s="2" t="str">
        <f t="shared" si="0"/>
        <v>A27</v>
      </c>
      <c r="AJ25" s="10">
        <v>21</v>
      </c>
      <c r="AK25" s="2">
        <f t="shared" si="6"/>
        <v>21</v>
      </c>
      <c r="AL25" s="52">
        <f t="shared" si="4"/>
        <v>0</v>
      </c>
      <c r="AN25" s="2">
        <f t="shared" si="1"/>
        <v>0</v>
      </c>
      <c r="AP25" s="10">
        <v>21</v>
      </c>
      <c r="AQ25" s="2">
        <f t="shared" si="7"/>
        <v>21</v>
      </c>
      <c r="AR25" s="52">
        <f t="shared" si="5"/>
        <v>0</v>
      </c>
      <c r="AT25" s="2">
        <f t="shared" si="2"/>
        <v>0</v>
      </c>
      <c r="AV25" s="10">
        <v>21</v>
      </c>
      <c r="AW25" s="2">
        <f t="shared" si="8"/>
        <v>21</v>
      </c>
      <c r="AX25" s="52">
        <f t="shared" ref="AX25:AX30" si="9">AW25-AV25</f>
        <v>0</v>
      </c>
    </row>
    <row r="26" spans="2:50" x14ac:dyDescent="0.25">
      <c r="B26" s="10" t="s">
        <v>8</v>
      </c>
      <c r="C26" s="2">
        <v>22</v>
      </c>
      <c r="F26" s="3" t="s">
        <v>27</v>
      </c>
      <c r="I26" s="11"/>
      <c r="T26" s="2"/>
      <c r="U26" s="2"/>
      <c r="AE26" s="58">
        <v>24</v>
      </c>
      <c r="AF26" s="56" t="s">
        <v>163</v>
      </c>
      <c r="AH26" s="2" t="str">
        <f t="shared" si="0"/>
        <v>A28</v>
      </c>
      <c r="AJ26" s="10">
        <v>22</v>
      </c>
      <c r="AK26" s="2">
        <f t="shared" si="6"/>
        <v>22</v>
      </c>
      <c r="AL26" s="52">
        <f t="shared" si="4"/>
        <v>0</v>
      </c>
      <c r="AN26" s="2">
        <f t="shared" si="1"/>
        <v>0</v>
      </c>
      <c r="AP26" s="10">
        <v>22</v>
      </c>
      <c r="AQ26" s="2">
        <f t="shared" si="7"/>
        <v>22</v>
      </c>
      <c r="AR26" s="52">
        <f t="shared" si="5"/>
        <v>0</v>
      </c>
      <c r="AT26" s="2">
        <f t="shared" si="2"/>
        <v>0</v>
      </c>
      <c r="AV26" s="10">
        <v>22</v>
      </c>
      <c r="AW26" s="2">
        <f t="shared" si="8"/>
        <v>22</v>
      </c>
      <c r="AX26" s="52">
        <f t="shared" si="9"/>
        <v>0</v>
      </c>
    </row>
    <row r="27" spans="2:50" x14ac:dyDescent="0.25">
      <c r="B27" s="10" t="s">
        <v>8</v>
      </c>
      <c r="C27" s="2">
        <v>23</v>
      </c>
      <c r="F27" s="3" t="s">
        <v>28</v>
      </c>
      <c r="I27" s="11"/>
      <c r="T27" s="3"/>
      <c r="U27" s="3"/>
      <c r="AE27" s="58">
        <v>29</v>
      </c>
      <c r="AF27" s="56" t="s">
        <v>165</v>
      </c>
      <c r="AH27" s="2" t="str">
        <f t="shared" si="0"/>
        <v>A6</v>
      </c>
      <c r="AJ27" s="10">
        <v>23</v>
      </c>
      <c r="AK27" s="2">
        <f t="shared" si="6"/>
        <v>23</v>
      </c>
      <c r="AL27" s="52">
        <f t="shared" si="4"/>
        <v>0</v>
      </c>
      <c r="AN27" s="2">
        <f t="shared" si="1"/>
        <v>0</v>
      </c>
      <c r="AP27" s="10">
        <v>23</v>
      </c>
      <c r="AQ27" s="2">
        <f t="shared" si="7"/>
        <v>23</v>
      </c>
      <c r="AR27" s="52">
        <f t="shared" si="5"/>
        <v>0</v>
      </c>
      <c r="AT27" s="2">
        <f t="shared" si="2"/>
        <v>0</v>
      </c>
      <c r="AV27" s="10">
        <v>23</v>
      </c>
      <c r="AW27" s="2">
        <f t="shared" si="8"/>
        <v>23</v>
      </c>
      <c r="AX27" s="52">
        <f t="shared" si="9"/>
        <v>0</v>
      </c>
    </row>
    <row r="28" spans="2:50" x14ac:dyDescent="0.25">
      <c r="B28" s="10" t="s">
        <v>8</v>
      </c>
      <c r="C28" s="2">
        <v>24</v>
      </c>
      <c r="F28" s="3" t="s">
        <v>29</v>
      </c>
      <c r="I28" s="11"/>
      <c r="U28" s="2"/>
      <c r="AE28" s="58">
        <v>30</v>
      </c>
      <c r="AF28" s="56" t="s">
        <v>165</v>
      </c>
      <c r="AH28" s="2" t="str">
        <f t="shared" si="0"/>
        <v>A8</v>
      </c>
      <c r="AJ28" s="10">
        <v>24</v>
      </c>
      <c r="AK28" s="2">
        <f t="shared" si="6"/>
        <v>24</v>
      </c>
      <c r="AL28" s="52">
        <f t="shared" si="4"/>
        <v>0</v>
      </c>
      <c r="AN28" s="2">
        <f t="shared" si="1"/>
        <v>0</v>
      </c>
      <c r="AP28" s="54">
        <v>24</v>
      </c>
      <c r="AQ28" s="2">
        <f t="shared" si="7"/>
        <v>24</v>
      </c>
      <c r="AR28" s="52">
        <f t="shared" si="5"/>
        <v>0</v>
      </c>
      <c r="AT28" s="2">
        <f t="shared" si="2"/>
        <v>0</v>
      </c>
      <c r="AV28" s="10">
        <v>24</v>
      </c>
      <c r="AW28" s="2">
        <f t="shared" si="8"/>
        <v>24</v>
      </c>
      <c r="AX28" s="52">
        <f t="shared" si="9"/>
        <v>0</v>
      </c>
    </row>
    <row r="29" spans="2:50" x14ac:dyDescent="0.25">
      <c r="B29" s="10" t="s">
        <v>8</v>
      </c>
      <c r="C29" s="2">
        <v>25</v>
      </c>
      <c r="F29" s="3" t="s">
        <v>30</v>
      </c>
      <c r="I29" s="11"/>
      <c r="AE29" s="58">
        <v>31</v>
      </c>
      <c r="AF29" s="56" t="s">
        <v>165</v>
      </c>
      <c r="AH29" s="2" t="str">
        <f t="shared" si="0"/>
        <v>A5</v>
      </c>
      <c r="AJ29" s="10">
        <v>25</v>
      </c>
      <c r="AK29" s="2">
        <f t="shared" si="6"/>
        <v>25</v>
      </c>
      <c r="AL29" s="52">
        <f t="shared" si="4"/>
        <v>0</v>
      </c>
      <c r="AN29" s="2">
        <f t="shared" si="1"/>
        <v>0</v>
      </c>
      <c r="AP29" s="10">
        <v>25</v>
      </c>
      <c r="AQ29" s="2">
        <f t="shared" si="7"/>
        <v>25</v>
      </c>
      <c r="AR29" s="52">
        <f t="shared" si="5"/>
        <v>0</v>
      </c>
      <c r="AT29" s="2">
        <f t="shared" si="2"/>
        <v>0</v>
      </c>
      <c r="AV29" s="10">
        <v>25</v>
      </c>
      <c r="AW29" s="2">
        <f t="shared" si="8"/>
        <v>25</v>
      </c>
      <c r="AX29" s="52">
        <f t="shared" si="9"/>
        <v>0</v>
      </c>
    </row>
    <row r="30" spans="2:50" x14ac:dyDescent="0.25">
      <c r="B30" s="10" t="s">
        <v>8</v>
      </c>
      <c r="C30" s="2">
        <v>26</v>
      </c>
      <c r="F30" s="3" t="s">
        <v>31</v>
      </c>
      <c r="I30" s="11"/>
      <c r="T30" s="2"/>
      <c r="U30" s="2"/>
      <c r="AE30" s="58">
        <v>32</v>
      </c>
      <c r="AF30" s="56" t="s">
        <v>165</v>
      </c>
      <c r="AH30" s="2" t="str">
        <f t="shared" si="0"/>
        <v>A7</v>
      </c>
      <c r="AJ30" s="54">
        <v>26</v>
      </c>
      <c r="AK30" s="2">
        <f t="shared" si="6"/>
        <v>26</v>
      </c>
      <c r="AL30" s="52">
        <f t="shared" si="4"/>
        <v>0</v>
      </c>
      <c r="AN30" s="2">
        <f t="shared" si="1"/>
        <v>0</v>
      </c>
      <c r="AP30" s="10">
        <v>26</v>
      </c>
      <c r="AQ30" s="2">
        <f t="shared" si="7"/>
        <v>26</v>
      </c>
      <c r="AR30" s="52">
        <f t="shared" si="5"/>
        <v>0</v>
      </c>
      <c r="AT30" s="2">
        <f t="shared" si="2"/>
        <v>0</v>
      </c>
      <c r="AV30" s="10">
        <v>26</v>
      </c>
      <c r="AW30" s="2">
        <f t="shared" si="8"/>
        <v>26</v>
      </c>
      <c r="AX30" s="52">
        <f t="shared" si="9"/>
        <v>0</v>
      </c>
    </row>
    <row r="31" spans="2:50" x14ac:dyDescent="0.25">
      <c r="B31" s="10" t="s">
        <v>8</v>
      </c>
      <c r="C31" s="2">
        <v>27</v>
      </c>
      <c r="F31" s="3" t="s">
        <v>32</v>
      </c>
      <c r="I31" s="11"/>
      <c r="U31" s="2"/>
      <c r="AE31" s="58">
        <v>33</v>
      </c>
      <c r="AF31" s="56" t="s">
        <v>165</v>
      </c>
      <c r="AH31" s="2" t="str">
        <f t="shared" si="0"/>
        <v>A15</v>
      </c>
      <c r="AJ31" s="10">
        <v>27</v>
      </c>
      <c r="AK31" s="2">
        <f t="shared" si="6"/>
        <v>27</v>
      </c>
      <c r="AL31" s="52">
        <f t="shared" si="4"/>
        <v>0</v>
      </c>
      <c r="AN31" s="2">
        <f t="shared" si="1"/>
        <v>0</v>
      </c>
      <c r="AP31" s="10">
        <v>27</v>
      </c>
      <c r="AQ31" s="2">
        <f t="shared" si="7"/>
        <v>27</v>
      </c>
      <c r="AR31" s="52">
        <f t="shared" si="5"/>
        <v>0</v>
      </c>
      <c r="AT31" s="2">
        <f t="shared" si="2"/>
        <v>0</v>
      </c>
      <c r="AV31" s="6"/>
      <c r="AW31" s="6"/>
      <c r="AX31" s="60"/>
    </row>
    <row r="32" spans="2:50" x14ac:dyDescent="0.25">
      <c r="B32" s="10" t="s">
        <v>8</v>
      </c>
      <c r="C32" s="2">
        <v>28</v>
      </c>
      <c r="G32" s="3" t="s">
        <v>33</v>
      </c>
      <c r="I32" s="11"/>
      <c r="AE32" s="58">
        <v>34</v>
      </c>
      <c r="AF32" s="56" t="s">
        <v>165</v>
      </c>
      <c r="AH32" s="2">
        <f t="shared" si="0"/>
        <v>0</v>
      </c>
      <c r="AJ32" s="10">
        <v>28</v>
      </c>
      <c r="AK32" s="2">
        <f t="shared" si="6"/>
        <v>28</v>
      </c>
      <c r="AL32" s="52">
        <f t="shared" si="4"/>
        <v>0</v>
      </c>
      <c r="AN32" s="2" t="str">
        <f t="shared" si="1"/>
        <v>B14</v>
      </c>
      <c r="AP32" s="10">
        <v>28</v>
      </c>
      <c r="AQ32" s="2">
        <f t="shared" si="7"/>
        <v>28</v>
      </c>
      <c r="AR32" s="52">
        <f t="shared" si="5"/>
        <v>0</v>
      </c>
      <c r="AT32" s="2">
        <f t="shared" si="2"/>
        <v>0</v>
      </c>
      <c r="AX32" s="59"/>
    </row>
    <row r="33" spans="2:50" x14ac:dyDescent="0.25">
      <c r="B33" s="10" t="s">
        <v>8</v>
      </c>
      <c r="C33" s="2">
        <v>29</v>
      </c>
      <c r="D33" s="16" t="s">
        <v>196</v>
      </c>
      <c r="G33" s="3" t="s">
        <v>155</v>
      </c>
      <c r="H33" s="3" t="s">
        <v>35</v>
      </c>
      <c r="I33" s="11"/>
      <c r="AH33" s="2">
        <f t="shared" si="0"/>
        <v>0</v>
      </c>
      <c r="AJ33" s="10">
        <v>29</v>
      </c>
      <c r="AK33" s="2">
        <f t="shared" si="6"/>
        <v>29</v>
      </c>
      <c r="AL33" s="52">
        <f t="shared" si="4"/>
        <v>0</v>
      </c>
      <c r="AN33" s="2" t="str">
        <f t="shared" si="1"/>
        <v>B26</v>
      </c>
      <c r="AP33" s="54">
        <v>29</v>
      </c>
      <c r="AQ33" s="2">
        <f t="shared" si="7"/>
        <v>29</v>
      </c>
      <c r="AR33" s="52">
        <f t="shared" si="5"/>
        <v>0</v>
      </c>
      <c r="AT33" s="2" t="str">
        <f t="shared" si="2"/>
        <v>C26</v>
      </c>
      <c r="AX33" s="59"/>
    </row>
    <row r="34" spans="2:50" x14ac:dyDescent="0.25">
      <c r="B34" s="10" t="s">
        <v>8</v>
      </c>
      <c r="C34" s="2">
        <v>30</v>
      </c>
      <c r="D34" s="3" t="s">
        <v>16</v>
      </c>
      <c r="I34" s="11"/>
      <c r="AH34" s="2">
        <f t="shared" si="0"/>
        <v>0</v>
      </c>
      <c r="AJ34" s="10">
        <v>30</v>
      </c>
      <c r="AK34" s="2">
        <f t="shared" si="6"/>
        <v>30</v>
      </c>
      <c r="AL34" s="52">
        <f t="shared" si="4"/>
        <v>0</v>
      </c>
      <c r="AN34" s="2">
        <f t="shared" si="1"/>
        <v>0</v>
      </c>
      <c r="AP34" s="54">
        <v>30</v>
      </c>
      <c r="AQ34" s="2">
        <f t="shared" si="7"/>
        <v>30</v>
      </c>
      <c r="AR34" s="52">
        <f t="shared" si="5"/>
        <v>0</v>
      </c>
      <c r="AT34" s="2">
        <f t="shared" si="2"/>
        <v>0</v>
      </c>
      <c r="AX34" s="59"/>
    </row>
    <row r="35" spans="2:50" x14ac:dyDescent="0.25">
      <c r="B35" s="10" t="s">
        <v>8</v>
      </c>
      <c r="C35" s="2">
        <v>31</v>
      </c>
      <c r="F35" s="3" t="s">
        <v>36</v>
      </c>
      <c r="I35" s="11"/>
      <c r="AE35" s="1" t="s">
        <v>160</v>
      </c>
      <c r="AH35" s="2" t="str">
        <f t="shared" si="0"/>
        <v>A29</v>
      </c>
      <c r="AJ35" s="10">
        <v>31</v>
      </c>
      <c r="AK35" s="2">
        <f t="shared" si="6"/>
        <v>31</v>
      </c>
      <c r="AL35" s="52">
        <f t="shared" si="4"/>
        <v>0</v>
      </c>
      <c r="AN35" s="2">
        <f t="shared" si="1"/>
        <v>0</v>
      </c>
      <c r="AP35" s="54">
        <v>31</v>
      </c>
      <c r="AQ35" s="2">
        <f t="shared" si="7"/>
        <v>31</v>
      </c>
      <c r="AR35" s="52">
        <f t="shared" si="5"/>
        <v>0</v>
      </c>
      <c r="AT35" s="2">
        <f t="shared" si="2"/>
        <v>0</v>
      </c>
      <c r="AX35" s="59"/>
    </row>
    <row r="36" spans="2:50" x14ac:dyDescent="0.25">
      <c r="B36" s="10" t="s">
        <v>8</v>
      </c>
      <c r="C36" s="2">
        <v>32</v>
      </c>
      <c r="F36" s="3" t="s">
        <v>37</v>
      </c>
      <c r="I36" s="11"/>
      <c r="AE36" s="58">
        <v>14</v>
      </c>
      <c r="AF36" s="56" t="s">
        <v>174</v>
      </c>
      <c r="AH36" s="2" t="str">
        <f t="shared" si="0"/>
        <v>A30</v>
      </c>
      <c r="AJ36" s="10">
        <v>32</v>
      </c>
      <c r="AK36" s="2">
        <f t="shared" si="6"/>
        <v>32</v>
      </c>
      <c r="AL36" s="52">
        <f t="shared" si="4"/>
        <v>0</v>
      </c>
      <c r="AN36" s="2">
        <f t="shared" si="1"/>
        <v>0</v>
      </c>
      <c r="AP36" s="54">
        <v>32</v>
      </c>
      <c r="AQ36" s="2">
        <f t="shared" si="7"/>
        <v>32</v>
      </c>
      <c r="AR36" s="52">
        <f t="shared" si="5"/>
        <v>0</v>
      </c>
      <c r="AT36" s="2">
        <f t="shared" si="2"/>
        <v>0</v>
      </c>
      <c r="AX36" s="59"/>
    </row>
    <row r="37" spans="2:50" x14ac:dyDescent="0.25">
      <c r="B37" s="10" t="s">
        <v>8</v>
      </c>
      <c r="C37" s="2">
        <v>33</v>
      </c>
      <c r="F37" s="3" t="s">
        <v>38</v>
      </c>
      <c r="I37" s="11"/>
      <c r="AE37" s="58">
        <v>15</v>
      </c>
      <c r="AF37" s="56" t="s">
        <v>174</v>
      </c>
      <c r="AH37" s="2" t="str">
        <f t="shared" ref="AH37:AH68" si="10">F37</f>
        <v>A25</v>
      </c>
      <c r="AJ37" s="10">
        <v>33</v>
      </c>
      <c r="AK37" s="2">
        <f t="shared" si="6"/>
        <v>33</v>
      </c>
      <c r="AL37" s="52">
        <f t="shared" si="4"/>
        <v>0</v>
      </c>
      <c r="AN37" s="2">
        <f t="shared" si="1"/>
        <v>0</v>
      </c>
      <c r="AP37" s="54">
        <v>33</v>
      </c>
      <c r="AQ37" s="2">
        <f t="shared" si="7"/>
        <v>33</v>
      </c>
      <c r="AR37" s="52">
        <f t="shared" si="5"/>
        <v>0</v>
      </c>
      <c r="AT37" s="2">
        <f t="shared" si="2"/>
        <v>0</v>
      </c>
      <c r="AX37" s="59"/>
    </row>
    <row r="38" spans="2:50" x14ac:dyDescent="0.25">
      <c r="B38" s="17" t="s">
        <v>8</v>
      </c>
      <c r="C38" s="18">
        <v>34</v>
      </c>
      <c r="D38" s="19" t="s">
        <v>15</v>
      </c>
      <c r="E38" s="18"/>
      <c r="F38" s="20"/>
      <c r="G38" s="20"/>
      <c r="H38" s="20"/>
      <c r="I38" s="21"/>
      <c r="AE38" s="58">
        <v>16</v>
      </c>
      <c r="AF38" s="56" t="s">
        <v>174</v>
      </c>
      <c r="AH38" s="2">
        <f t="shared" si="10"/>
        <v>0</v>
      </c>
      <c r="AJ38" s="17">
        <v>34</v>
      </c>
      <c r="AK38" s="18">
        <f t="shared" si="6"/>
        <v>34</v>
      </c>
      <c r="AL38" s="53">
        <f t="shared" si="4"/>
        <v>0</v>
      </c>
      <c r="AN38" s="2">
        <f t="shared" si="1"/>
        <v>0</v>
      </c>
      <c r="AP38" s="55">
        <v>34</v>
      </c>
      <c r="AQ38" s="18">
        <f t="shared" si="7"/>
        <v>34</v>
      </c>
      <c r="AR38" s="53">
        <f t="shared" si="5"/>
        <v>0</v>
      </c>
      <c r="AT38" s="2">
        <f t="shared" si="2"/>
        <v>0</v>
      </c>
      <c r="AX38" s="59"/>
    </row>
    <row r="39" spans="2:50" x14ac:dyDescent="0.25">
      <c r="AE39" s="58">
        <v>17</v>
      </c>
      <c r="AF39" s="56" t="s">
        <v>174</v>
      </c>
      <c r="AH39" s="2">
        <f t="shared" si="10"/>
        <v>0</v>
      </c>
      <c r="AN39" s="2">
        <f t="shared" si="1"/>
        <v>0</v>
      </c>
      <c r="AT39" s="2">
        <f t="shared" si="2"/>
        <v>0</v>
      </c>
    </row>
    <row r="40" spans="2:50" x14ac:dyDescent="0.25">
      <c r="B40" s="5" t="s">
        <v>39</v>
      </c>
      <c r="C40" s="6">
        <v>1</v>
      </c>
      <c r="D40" s="8" t="s">
        <v>16</v>
      </c>
      <c r="E40" s="6"/>
      <c r="F40" s="8"/>
      <c r="G40" s="8"/>
      <c r="H40" s="8"/>
      <c r="I40" s="9"/>
      <c r="AE40" s="58">
        <v>18</v>
      </c>
      <c r="AF40" s="56" t="s">
        <v>174</v>
      </c>
      <c r="AH40" s="2">
        <f t="shared" si="10"/>
        <v>0</v>
      </c>
      <c r="AN40" s="2">
        <f t="shared" si="1"/>
        <v>0</v>
      </c>
      <c r="AT40" s="2">
        <f t="shared" si="2"/>
        <v>0</v>
      </c>
    </row>
    <row r="41" spans="2:50" x14ac:dyDescent="0.25">
      <c r="B41" s="10" t="s">
        <v>39</v>
      </c>
      <c r="C41" s="2">
        <v>2</v>
      </c>
      <c r="D41" s="3" t="s">
        <v>16</v>
      </c>
      <c r="I41" s="11"/>
      <c r="AE41" s="58">
        <v>19</v>
      </c>
      <c r="AF41" s="56" t="s">
        <v>174</v>
      </c>
      <c r="AH41" s="2">
        <f t="shared" si="10"/>
        <v>0</v>
      </c>
      <c r="AN41" s="2">
        <f t="shared" si="1"/>
        <v>0</v>
      </c>
      <c r="AT41" s="2">
        <f t="shared" si="2"/>
        <v>0</v>
      </c>
    </row>
    <row r="42" spans="2:50" x14ac:dyDescent="0.25">
      <c r="B42" s="10" t="s">
        <v>39</v>
      </c>
      <c r="C42" s="2">
        <v>3</v>
      </c>
      <c r="D42" s="3" t="s">
        <v>16</v>
      </c>
      <c r="I42" s="11"/>
      <c r="AH42" s="2">
        <f t="shared" si="10"/>
        <v>0</v>
      </c>
      <c r="AN42" s="2">
        <f t="shared" si="1"/>
        <v>0</v>
      </c>
      <c r="AP42" s="58"/>
      <c r="AT42" s="2">
        <f t="shared" si="2"/>
        <v>0</v>
      </c>
    </row>
    <row r="43" spans="2:50" x14ac:dyDescent="0.25">
      <c r="B43" s="10" t="s">
        <v>39</v>
      </c>
      <c r="C43" s="2">
        <v>4</v>
      </c>
      <c r="D43" s="3" t="s">
        <v>16</v>
      </c>
      <c r="I43" s="11"/>
      <c r="AH43" s="2">
        <f t="shared" si="10"/>
        <v>0</v>
      </c>
      <c r="AN43" s="2">
        <f t="shared" si="1"/>
        <v>0</v>
      </c>
      <c r="AT43" s="2">
        <f t="shared" si="2"/>
        <v>0</v>
      </c>
    </row>
    <row r="44" spans="2:50" x14ac:dyDescent="0.25">
      <c r="B44" s="10" t="s">
        <v>39</v>
      </c>
      <c r="C44" s="2">
        <v>5</v>
      </c>
      <c r="D44" s="3" t="s">
        <v>16</v>
      </c>
      <c r="I44" s="11"/>
      <c r="AH44" s="2">
        <f t="shared" si="10"/>
        <v>0</v>
      </c>
      <c r="AN44" s="2">
        <f t="shared" si="1"/>
        <v>0</v>
      </c>
      <c r="AT44" s="2">
        <f t="shared" si="2"/>
        <v>0</v>
      </c>
    </row>
    <row r="45" spans="2:50" x14ac:dyDescent="0.25">
      <c r="B45" s="10" t="s">
        <v>39</v>
      </c>
      <c r="C45" s="2">
        <v>6</v>
      </c>
      <c r="I45" s="69" t="s">
        <v>129</v>
      </c>
      <c r="AH45" s="2">
        <f t="shared" si="10"/>
        <v>0</v>
      </c>
      <c r="AN45" s="2">
        <f t="shared" si="1"/>
        <v>0</v>
      </c>
      <c r="AP45" s="58"/>
      <c r="AT45" s="2">
        <f t="shared" si="2"/>
        <v>0</v>
      </c>
    </row>
    <row r="46" spans="2:50" x14ac:dyDescent="0.25">
      <c r="B46" s="10" t="s">
        <v>39</v>
      </c>
      <c r="C46" s="2">
        <v>7</v>
      </c>
      <c r="D46" s="14" t="s">
        <v>15</v>
      </c>
      <c r="H46" s="3" t="s">
        <v>40</v>
      </c>
      <c r="I46" s="13" t="s">
        <v>41</v>
      </c>
      <c r="J46" s="22"/>
      <c r="AH46" s="2">
        <f t="shared" si="10"/>
        <v>0</v>
      </c>
      <c r="AN46" s="2">
        <f t="shared" si="1"/>
        <v>0</v>
      </c>
      <c r="AT46" s="2" t="str">
        <f t="shared" si="2"/>
        <v>C1</v>
      </c>
    </row>
    <row r="47" spans="2:50" x14ac:dyDescent="0.25">
      <c r="B47" s="10" t="s">
        <v>39</v>
      </c>
      <c r="C47" s="2">
        <v>8</v>
      </c>
      <c r="D47" s="3" t="s">
        <v>16</v>
      </c>
      <c r="I47" s="11"/>
      <c r="R47" s="3"/>
      <c r="AH47" s="2">
        <f t="shared" si="10"/>
        <v>0</v>
      </c>
      <c r="AN47" s="2">
        <f t="shared" si="1"/>
        <v>0</v>
      </c>
      <c r="AT47" s="2">
        <f t="shared" si="2"/>
        <v>0</v>
      </c>
    </row>
    <row r="48" spans="2:50" x14ac:dyDescent="0.25">
      <c r="B48" s="10" t="s">
        <v>39</v>
      </c>
      <c r="C48" s="2">
        <v>9</v>
      </c>
      <c r="D48" s="1" t="s">
        <v>222</v>
      </c>
      <c r="I48" s="92" t="s">
        <v>214</v>
      </c>
      <c r="R48" s="3"/>
      <c r="AH48" s="2">
        <f t="shared" si="10"/>
        <v>0</v>
      </c>
      <c r="AN48" s="2">
        <f t="shared" si="1"/>
        <v>0</v>
      </c>
      <c r="AT48" s="2">
        <f t="shared" si="2"/>
        <v>0</v>
      </c>
    </row>
    <row r="49" spans="2:46" x14ac:dyDescent="0.25">
      <c r="B49" s="10" t="s">
        <v>39</v>
      </c>
      <c r="C49" s="2">
        <v>10</v>
      </c>
      <c r="D49" s="3" t="s">
        <v>16</v>
      </c>
      <c r="I49" s="11"/>
      <c r="R49" s="42"/>
      <c r="AH49" s="2">
        <f t="shared" si="10"/>
        <v>0</v>
      </c>
      <c r="AN49" s="2">
        <f t="shared" si="1"/>
        <v>0</v>
      </c>
      <c r="AT49" s="2">
        <f t="shared" si="2"/>
        <v>0</v>
      </c>
    </row>
    <row r="50" spans="2:46" x14ac:dyDescent="0.25">
      <c r="B50" s="10" t="s">
        <v>39</v>
      </c>
      <c r="C50" s="2">
        <v>11</v>
      </c>
      <c r="F50" s="3" t="s">
        <v>42</v>
      </c>
      <c r="I50" s="11"/>
      <c r="AH50" s="2" t="str">
        <f t="shared" si="10"/>
        <v>A32</v>
      </c>
      <c r="AN50" s="2">
        <f t="shared" si="1"/>
        <v>0</v>
      </c>
      <c r="AT50" s="2">
        <f t="shared" si="2"/>
        <v>0</v>
      </c>
    </row>
    <row r="51" spans="2:46" ht="18.75" x14ac:dyDescent="0.3">
      <c r="B51" s="10" t="s">
        <v>39</v>
      </c>
      <c r="C51" s="2">
        <v>12</v>
      </c>
      <c r="F51" s="3" t="s">
        <v>43</v>
      </c>
      <c r="I51" s="11"/>
      <c r="L51" s="4"/>
      <c r="O51" s="43"/>
      <c r="AH51" s="2" t="str">
        <f t="shared" si="10"/>
        <v>A31</v>
      </c>
      <c r="AN51" s="2">
        <f t="shared" si="1"/>
        <v>0</v>
      </c>
      <c r="AT51" s="2">
        <f t="shared" si="2"/>
        <v>0</v>
      </c>
    </row>
    <row r="52" spans="2:46" x14ac:dyDescent="0.25">
      <c r="B52" s="10" t="s">
        <v>39</v>
      </c>
      <c r="C52" s="2">
        <v>13</v>
      </c>
      <c r="F52" s="46" t="s">
        <v>177</v>
      </c>
      <c r="I52" s="11"/>
      <c r="J52" s="1"/>
      <c r="AH52" s="2" t="str">
        <f t="shared" si="10"/>
        <v>A21 A34</v>
      </c>
      <c r="AN52" s="2">
        <f t="shared" si="1"/>
        <v>0</v>
      </c>
      <c r="AT52" s="2">
        <f t="shared" si="2"/>
        <v>0</v>
      </c>
    </row>
    <row r="53" spans="2:46" x14ac:dyDescent="0.25">
      <c r="B53" s="10" t="s">
        <v>39</v>
      </c>
      <c r="C53" s="2">
        <v>14</v>
      </c>
      <c r="D53" s="3" t="s">
        <v>16</v>
      </c>
      <c r="I53" s="11"/>
      <c r="AH53" s="2">
        <f t="shared" si="10"/>
        <v>0</v>
      </c>
      <c r="AN53" s="2">
        <f t="shared" si="1"/>
        <v>0</v>
      </c>
      <c r="AT53" s="2">
        <f t="shared" si="2"/>
        <v>0</v>
      </c>
    </row>
    <row r="54" spans="2:46" x14ac:dyDescent="0.25">
      <c r="B54" s="10" t="s">
        <v>39</v>
      </c>
      <c r="C54" s="2">
        <v>15</v>
      </c>
      <c r="F54" s="73" t="s">
        <v>44</v>
      </c>
      <c r="I54" s="69" t="s">
        <v>91</v>
      </c>
      <c r="AH54" s="2" t="str">
        <f t="shared" si="10"/>
        <v>A9</v>
      </c>
      <c r="AN54" s="2">
        <f t="shared" si="1"/>
        <v>0</v>
      </c>
      <c r="AT54" s="2">
        <f t="shared" si="2"/>
        <v>0</v>
      </c>
    </row>
    <row r="55" spans="2:46" x14ac:dyDescent="0.25">
      <c r="B55" s="10" t="s">
        <v>39</v>
      </c>
      <c r="C55" s="2">
        <v>16</v>
      </c>
      <c r="D55" s="3" t="s">
        <v>16</v>
      </c>
      <c r="I55" s="11"/>
      <c r="AH55" s="2">
        <f t="shared" si="10"/>
        <v>0</v>
      </c>
      <c r="AN55" s="2">
        <f t="shared" si="1"/>
        <v>0</v>
      </c>
      <c r="AT55" s="2">
        <f t="shared" si="2"/>
        <v>0</v>
      </c>
    </row>
    <row r="56" spans="2:46" x14ac:dyDescent="0.25">
      <c r="B56" s="10" t="s">
        <v>39</v>
      </c>
      <c r="C56" s="2">
        <v>17</v>
      </c>
      <c r="F56" s="46" t="s">
        <v>178</v>
      </c>
      <c r="I56" s="11"/>
      <c r="J56" s="1"/>
      <c r="AH56" s="2" t="str">
        <f t="shared" si="10"/>
        <v>A34 A21</v>
      </c>
      <c r="AN56" s="2">
        <f t="shared" si="1"/>
        <v>0</v>
      </c>
      <c r="AT56" s="2">
        <f t="shared" si="2"/>
        <v>0</v>
      </c>
    </row>
    <row r="57" spans="2:46" x14ac:dyDescent="0.25">
      <c r="B57" s="10" t="s">
        <v>39</v>
      </c>
      <c r="C57" s="2">
        <v>18</v>
      </c>
      <c r="D57" s="3" t="s">
        <v>16</v>
      </c>
      <c r="I57" s="11"/>
      <c r="AH57" s="2">
        <f t="shared" si="10"/>
        <v>0</v>
      </c>
      <c r="AN57" s="2">
        <f t="shared" si="1"/>
        <v>0</v>
      </c>
      <c r="AT57" s="2">
        <f t="shared" si="2"/>
        <v>0</v>
      </c>
    </row>
    <row r="58" spans="2:46" x14ac:dyDescent="0.25">
      <c r="B58" s="10" t="s">
        <v>39</v>
      </c>
      <c r="C58" s="2">
        <v>19</v>
      </c>
      <c r="D58" s="3" t="s">
        <v>16</v>
      </c>
      <c r="I58" s="11"/>
      <c r="AH58" s="2">
        <f t="shared" si="10"/>
        <v>0</v>
      </c>
      <c r="AN58" s="2">
        <f t="shared" si="1"/>
        <v>0</v>
      </c>
      <c r="AT58" s="2">
        <f t="shared" si="2"/>
        <v>0</v>
      </c>
    </row>
    <row r="59" spans="2:46" x14ac:dyDescent="0.25">
      <c r="B59" s="10" t="s">
        <v>39</v>
      </c>
      <c r="C59" s="2">
        <v>20</v>
      </c>
      <c r="F59" s="3" t="s">
        <v>45</v>
      </c>
      <c r="I59" s="11"/>
      <c r="AH59" s="2" t="str">
        <f t="shared" si="10"/>
        <v>A11</v>
      </c>
      <c r="AN59" s="2">
        <f t="shared" si="1"/>
        <v>0</v>
      </c>
      <c r="AP59" s="58"/>
      <c r="AT59" s="2">
        <f t="shared" si="2"/>
        <v>0</v>
      </c>
    </row>
    <row r="60" spans="2:46" x14ac:dyDescent="0.25">
      <c r="B60" s="10" t="s">
        <v>39</v>
      </c>
      <c r="C60" s="2">
        <v>21</v>
      </c>
      <c r="D60" s="15" t="s">
        <v>195</v>
      </c>
      <c r="I60" s="11"/>
      <c r="AH60" s="2">
        <f t="shared" si="10"/>
        <v>0</v>
      </c>
      <c r="AN60" s="2">
        <f t="shared" si="1"/>
        <v>0</v>
      </c>
      <c r="AP60" s="58"/>
      <c r="AT60" s="2">
        <f t="shared" si="2"/>
        <v>0</v>
      </c>
    </row>
    <row r="61" spans="2:46" x14ac:dyDescent="0.25">
      <c r="B61" s="10" t="s">
        <v>39</v>
      </c>
      <c r="C61" s="2">
        <v>22</v>
      </c>
      <c r="D61" s="15" t="s">
        <v>195</v>
      </c>
      <c r="I61" s="11"/>
      <c r="AH61" s="2">
        <f t="shared" si="10"/>
        <v>0</v>
      </c>
      <c r="AN61" s="2">
        <f t="shared" si="1"/>
        <v>0</v>
      </c>
      <c r="AP61" s="58"/>
      <c r="AT61" s="2">
        <f t="shared" si="2"/>
        <v>0</v>
      </c>
    </row>
    <row r="62" spans="2:46" x14ac:dyDescent="0.25">
      <c r="B62" s="10" t="s">
        <v>39</v>
      </c>
      <c r="C62" s="2">
        <v>23</v>
      </c>
      <c r="G62" s="3" t="s">
        <v>146</v>
      </c>
      <c r="I62" s="11"/>
      <c r="AH62" s="2">
        <f t="shared" si="10"/>
        <v>0</v>
      </c>
      <c r="AN62" s="2" t="str">
        <f t="shared" si="1"/>
        <v>B15</v>
      </c>
      <c r="AP62" s="58"/>
      <c r="AT62" s="2">
        <f t="shared" si="2"/>
        <v>0</v>
      </c>
    </row>
    <row r="63" spans="2:46" x14ac:dyDescent="0.25">
      <c r="B63" s="10" t="s">
        <v>39</v>
      </c>
      <c r="C63" s="2">
        <v>24</v>
      </c>
      <c r="D63" s="3" t="s">
        <v>16</v>
      </c>
      <c r="I63" s="11"/>
      <c r="AH63" s="2">
        <f t="shared" si="10"/>
        <v>0</v>
      </c>
      <c r="AN63" s="2">
        <f t="shared" si="1"/>
        <v>0</v>
      </c>
      <c r="AP63" s="58"/>
      <c r="AT63" s="2">
        <f t="shared" si="2"/>
        <v>0</v>
      </c>
    </row>
    <row r="64" spans="2:46" x14ac:dyDescent="0.25">
      <c r="B64" s="10" t="s">
        <v>39</v>
      </c>
      <c r="C64" s="2">
        <v>25</v>
      </c>
      <c r="D64" s="3" t="s">
        <v>16</v>
      </c>
      <c r="I64" s="11"/>
      <c r="AH64" s="2">
        <f t="shared" si="10"/>
        <v>0</v>
      </c>
      <c r="AN64" s="2">
        <f t="shared" si="1"/>
        <v>0</v>
      </c>
      <c r="AT64" s="2">
        <f t="shared" si="2"/>
        <v>0</v>
      </c>
    </row>
    <row r="65" spans="2:46" x14ac:dyDescent="0.25">
      <c r="B65" s="10" t="s">
        <v>39</v>
      </c>
      <c r="C65" s="2">
        <v>26</v>
      </c>
      <c r="F65" s="3" t="s">
        <v>46</v>
      </c>
      <c r="I65" s="11"/>
      <c r="AH65" s="2" t="str">
        <f t="shared" si="10"/>
        <v>A22</v>
      </c>
      <c r="AN65" s="2">
        <f t="shared" si="1"/>
        <v>0</v>
      </c>
      <c r="AT65" s="2">
        <f t="shared" si="2"/>
        <v>0</v>
      </c>
    </row>
    <row r="66" spans="2:46" x14ac:dyDescent="0.25">
      <c r="B66" s="10" t="s">
        <v>39</v>
      </c>
      <c r="C66" s="2">
        <v>27</v>
      </c>
      <c r="D66" s="3" t="s">
        <v>16</v>
      </c>
      <c r="I66" s="11"/>
      <c r="AH66" s="2">
        <f t="shared" si="10"/>
        <v>0</v>
      </c>
      <c r="AN66" s="2">
        <f t="shared" si="1"/>
        <v>0</v>
      </c>
      <c r="AT66" s="2">
        <f t="shared" si="2"/>
        <v>0</v>
      </c>
    </row>
    <row r="67" spans="2:46" x14ac:dyDescent="0.25">
      <c r="B67" s="10" t="s">
        <v>39</v>
      </c>
      <c r="C67" s="2">
        <v>28</v>
      </c>
      <c r="D67" s="3" t="s">
        <v>16</v>
      </c>
      <c r="I67" s="11"/>
      <c r="AH67" s="2">
        <f t="shared" si="10"/>
        <v>0</v>
      </c>
      <c r="AN67" s="2">
        <f t="shared" si="1"/>
        <v>0</v>
      </c>
      <c r="AT67" s="2">
        <f t="shared" si="2"/>
        <v>0</v>
      </c>
    </row>
    <row r="68" spans="2:46" ht="18.75" x14ac:dyDescent="0.3">
      <c r="B68" s="10" t="s">
        <v>39</v>
      </c>
      <c r="C68" s="2">
        <v>29</v>
      </c>
      <c r="D68" s="16" t="s">
        <v>196</v>
      </c>
      <c r="I68" s="11"/>
      <c r="L68" s="4"/>
      <c r="AH68" s="2">
        <f t="shared" si="10"/>
        <v>0</v>
      </c>
      <c r="AN68" s="2">
        <f t="shared" si="1"/>
        <v>0</v>
      </c>
      <c r="AT68" s="2">
        <f t="shared" si="2"/>
        <v>0</v>
      </c>
    </row>
    <row r="69" spans="2:46" x14ac:dyDescent="0.25">
      <c r="B69" s="10" t="s">
        <v>39</v>
      </c>
      <c r="C69" s="2">
        <v>30</v>
      </c>
      <c r="D69" s="16" t="s">
        <v>196</v>
      </c>
      <c r="I69" s="11"/>
      <c r="AH69" s="2">
        <f t="shared" ref="AH69:AH100" si="11">F69</f>
        <v>0</v>
      </c>
      <c r="AN69" s="2">
        <f t="shared" ref="AN69:AN132" si="12">G69</f>
        <v>0</v>
      </c>
      <c r="AT69" s="2">
        <f t="shared" ref="AT69:AT132" si="13">H69</f>
        <v>0</v>
      </c>
    </row>
    <row r="70" spans="2:46" x14ac:dyDescent="0.25">
      <c r="B70" s="10" t="s">
        <v>39</v>
      </c>
      <c r="C70" s="2">
        <v>31</v>
      </c>
      <c r="D70" t="s">
        <v>47</v>
      </c>
      <c r="G70" s="3" t="s">
        <v>34</v>
      </c>
      <c r="I70" s="11"/>
      <c r="L70" s="44"/>
      <c r="AH70" s="2">
        <f t="shared" si="11"/>
        <v>0</v>
      </c>
      <c r="AN70" s="2" t="str">
        <f t="shared" si="12"/>
        <v>B16</v>
      </c>
      <c r="AT70" s="2">
        <f t="shared" si="13"/>
        <v>0</v>
      </c>
    </row>
    <row r="71" spans="2:46" x14ac:dyDescent="0.25">
      <c r="B71" s="10" t="s">
        <v>39</v>
      </c>
      <c r="C71" s="2">
        <v>32</v>
      </c>
      <c r="D71" s="3"/>
      <c r="I71" s="69" t="s">
        <v>215</v>
      </c>
      <c r="J71" s="22"/>
      <c r="AH71" s="2">
        <f t="shared" si="11"/>
        <v>0</v>
      </c>
      <c r="AN71" s="2">
        <f t="shared" si="12"/>
        <v>0</v>
      </c>
      <c r="AT71" s="2">
        <f t="shared" si="13"/>
        <v>0</v>
      </c>
    </row>
    <row r="72" spans="2:46" x14ac:dyDescent="0.25">
      <c r="B72" s="10" t="s">
        <v>39</v>
      </c>
      <c r="C72" s="2">
        <v>33</v>
      </c>
      <c r="F72" s="73" t="s">
        <v>48</v>
      </c>
      <c r="I72" s="69" t="s">
        <v>171</v>
      </c>
      <c r="L72" s="44"/>
      <c r="AH72" s="2" t="str">
        <f t="shared" si="11"/>
        <v>A33</v>
      </c>
      <c r="AN72" s="2">
        <f t="shared" si="12"/>
        <v>0</v>
      </c>
      <c r="AT72" s="2">
        <f t="shared" si="13"/>
        <v>0</v>
      </c>
    </row>
    <row r="73" spans="2:46" x14ac:dyDescent="0.25">
      <c r="B73" s="10" t="s">
        <v>39</v>
      </c>
      <c r="C73" s="2">
        <v>34</v>
      </c>
      <c r="D73" s="3" t="s">
        <v>16</v>
      </c>
      <c r="I73" s="11"/>
      <c r="L73" s="44"/>
      <c r="AH73" s="2">
        <f t="shared" si="11"/>
        <v>0</v>
      </c>
      <c r="AN73" s="2">
        <f t="shared" si="12"/>
        <v>0</v>
      </c>
      <c r="AT73" s="2">
        <f t="shared" si="13"/>
        <v>0</v>
      </c>
    </row>
    <row r="74" spans="2:46" x14ac:dyDescent="0.25">
      <c r="B74" s="17" t="s">
        <v>39</v>
      </c>
      <c r="C74" s="18">
        <v>35</v>
      </c>
      <c r="D74" s="23"/>
      <c r="E74" s="18"/>
      <c r="F74" s="20" t="s">
        <v>49</v>
      </c>
      <c r="G74" s="20"/>
      <c r="H74" s="20"/>
      <c r="I74" s="21"/>
      <c r="L74" s="44"/>
      <c r="AH74" s="2" t="str">
        <f t="shared" si="11"/>
        <v>A12</v>
      </c>
      <c r="AN74" s="2">
        <f t="shared" si="12"/>
        <v>0</v>
      </c>
      <c r="AT74" s="2">
        <f t="shared" si="13"/>
        <v>0</v>
      </c>
    </row>
    <row r="75" spans="2:46" x14ac:dyDescent="0.25">
      <c r="L75" s="44"/>
      <c r="AH75" s="2">
        <f t="shared" si="11"/>
        <v>0</v>
      </c>
      <c r="AN75" s="2">
        <f t="shared" si="12"/>
        <v>0</v>
      </c>
      <c r="AT75" s="2">
        <f t="shared" si="13"/>
        <v>0</v>
      </c>
    </row>
    <row r="76" spans="2:46" x14ac:dyDescent="0.25">
      <c r="B76" s="5" t="s">
        <v>21</v>
      </c>
      <c r="C76" s="6">
        <v>1</v>
      </c>
      <c r="D76" s="24" t="s">
        <v>15</v>
      </c>
      <c r="E76" s="6"/>
      <c r="F76" s="8"/>
      <c r="G76" s="8"/>
      <c r="H76" s="8"/>
      <c r="I76" s="9"/>
      <c r="AH76" s="2">
        <f t="shared" si="11"/>
        <v>0</v>
      </c>
      <c r="AN76" s="2">
        <f t="shared" si="12"/>
        <v>0</v>
      </c>
      <c r="AT76" s="2">
        <f t="shared" si="13"/>
        <v>0</v>
      </c>
    </row>
    <row r="77" spans="2:46" x14ac:dyDescent="0.25">
      <c r="B77" s="10" t="s">
        <v>21</v>
      </c>
      <c r="C77" s="2">
        <v>2</v>
      </c>
      <c r="D77" s="25" t="s">
        <v>149</v>
      </c>
      <c r="I77" s="11"/>
      <c r="L77" s="44"/>
      <c r="AH77" s="2">
        <f t="shared" si="11"/>
        <v>0</v>
      </c>
      <c r="AN77" s="2">
        <f t="shared" si="12"/>
        <v>0</v>
      </c>
      <c r="AT77" s="2">
        <f t="shared" si="13"/>
        <v>0</v>
      </c>
    </row>
    <row r="78" spans="2:46" x14ac:dyDescent="0.25">
      <c r="B78" s="10" t="s">
        <v>21</v>
      </c>
      <c r="C78" s="2">
        <v>3</v>
      </c>
      <c r="D78" s="3" t="s">
        <v>16</v>
      </c>
      <c r="I78" s="11"/>
      <c r="AH78" s="2">
        <f t="shared" si="11"/>
        <v>0</v>
      </c>
      <c r="AN78" s="2">
        <f t="shared" si="12"/>
        <v>0</v>
      </c>
      <c r="AT78" s="2">
        <f t="shared" si="13"/>
        <v>0</v>
      </c>
    </row>
    <row r="79" spans="2:46" x14ac:dyDescent="0.25">
      <c r="B79" s="10" t="s">
        <v>21</v>
      </c>
      <c r="C79" s="2">
        <v>4</v>
      </c>
      <c r="D79" s="12" t="s">
        <v>11</v>
      </c>
      <c r="I79" s="11"/>
      <c r="L79" s="44"/>
      <c r="AH79" s="2">
        <f t="shared" si="11"/>
        <v>0</v>
      </c>
      <c r="AN79" s="2">
        <f t="shared" si="12"/>
        <v>0</v>
      </c>
      <c r="AT79" s="2">
        <f t="shared" si="13"/>
        <v>0</v>
      </c>
    </row>
    <row r="80" spans="2:46" x14ac:dyDescent="0.25">
      <c r="B80" s="10" t="s">
        <v>21</v>
      </c>
      <c r="C80" s="2">
        <v>5</v>
      </c>
      <c r="D80" s="68" t="s">
        <v>195</v>
      </c>
      <c r="F80" s="15"/>
      <c r="I80" s="74" t="s">
        <v>50</v>
      </c>
      <c r="M80" s="43"/>
      <c r="AH80" s="2">
        <f t="shared" si="11"/>
        <v>0</v>
      </c>
      <c r="AN80" s="2">
        <f t="shared" si="12"/>
        <v>0</v>
      </c>
      <c r="AT80" s="2">
        <f t="shared" si="13"/>
        <v>0</v>
      </c>
    </row>
    <row r="81" spans="2:46" x14ac:dyDescent="0.25">
      <c r="B81" s="10" t="s">
        <v>21</v>
      </c>
      <c r="C81" s="2">
        <v>6</v>
      </c>
      <c r="D81" s="68" t="s">
        <v>195</v>
      </c>
      <c r="F81" s="15"/>
      <c r="I81" s="74" t="s">
        <v>50</v>
      </c>
      <c r="L81" s="45"/>
      <c r="AH81" s="2">
        <f t="shared" si="11"/>
        <v>0</v>
      </c>
      <c r="AN81" s="2">
        <f t="shared" si="12"/>
        <v>0</v>
      </c>
      <c r="AT81" s="2">
        <f t="shared" si="13"/>
        <v>0</v>
      </c>
    </row>
    <row r="82" spans="2:46" x14ac:dyDescent="0.25">
      <c r="B82" s="10" t="s">
        <v>21</v>
      </c>
      <c r="C82" s="2">
        <v>7</v>
      </c>
      <c r="D82" s="46" t="s">
        <v>16</v>
      </c>
      <c r="I82" s="74" t="s">
        <v>217</v>
      </c>
      <c r="AH82" s="2">
        <f t="shared" si="11"/>
        <v>0</v>
      </c>
      <c r="AN82" s="2">
        <f t="shared" si="12"/>
        <v>0</v>
      </c>
      <c r="AT82" s="2">
        <f t="shared" si="13"/>
        <v>0</v>
      </c>
    </row>
    <row r="83" spans="2:46" x14ac:dyDescent="0.25">
      <c r="B83" s="10" t="s">
        <v>21</v>
      </c>
      <c r="C83" s="2">
        <v>8</v>
      </c>
      <c r="D83" s="3" t="s">
        <v>16</v>
      </c>
      <c r="I83" s="13"/>
      <c r="L83" s="44"/>
      <c r="AH83" s="2">
        <f t="shared" si="11"/>
        <v>0</v>
      </c>
      <c r="AN83" s="2">
        <f t="shared" si="12"/>
        <v>0</v>
      </c>
      <c r="AT83" s="2">
        <f t="shared" si="13"/>
        <v>0</v>
      </c>
    </row>
    <row r="84" spans="2:46" x14ac:dyDescent="0.25">
      <c r="B84" s="10" t="s">
        <v>21</v>
      </c>
      <c r="C84" s="2">
        <v>9</v>
      </c>
      <c r="D84" s="3" t="s">
        <v>16</v>
      </c>
      <c r="I84" s="13"/>
      <c r="AH84" s="2">
        <f t="shared" si="11"/>
        <v>0</v>
      </c>
      <c r="AN84" s="2">
        <f t="shared" si="12"/>
        <v>0</v>
      </c>
      <c r="AT84" s="2">
        <f t="shared" si="13"/>
        <v>0</v>
      </c>
    </row>
    <row r="85" spans="2:46" x14ac:dyDescent="0.25">
      <c r="B85" s="10" t="s">
        <v>21</v>
      </c>
      <c r="C85" s="2">
        <v>10</v>
      </c>
      <c r="D85" s="16" t="s">
        <v>196</v>
      </c>
      <c r="I85" s="13"/>
      <c r="AH85" s="2">
        <f t="shared" si="11"/>
        <v>0</v>
      </c>
      <c r="AN85" s="2">
        <f t="shared" si="12"/>
        <v>0</v>
      </c>
      <c r="AT85" s="2">
        <f t="shared" si="13"/>
        <v>0</v>
      </c>
    </row>
    <row r="86" spans="2:46" x14ac:dyDescent="0.25">
      <c r="B86" s="10" t="s">
        <v>21</v>
      </c>
      <c r="C86" s="2">
        <v>11</v>
      </c>
      <c r="D86" s="16" t="s">
        <v>196</v>
      </c>
      <c r="I86" s="13"/>
      <c r="L86" s="44"/>
      <c r="AH86" s="2">
        <f t="shared" si="11"/>
        <v>0</v>
      </c>
      <c r="AN86" s="2">
        <f t="shared" si="12"/>
        <v>0</v>
      </c>
      <c r="AT86" s="2">
        <f t="shared" si="13"/>
        <v>0</v>
      </c>
    </row>
    <row r="87" spans="2:46" x14ac:dyDescent="0.25">
      <c r="B87" s="10" t="s">
        <v>21</v>
      </c>
      <c r="C87" s="2">
        <v>12</v>
      </c>
      <c r="I87" s="13" t="s">
        <v>51</v>
      </c>
      <c r="AH87" s="2">
        <f t="shared" si="11"/>
        <v>0</v>
      </c>
      <c r="AN87" s="2">
        <f t="shared" si="12"/>
        <v>0</v>
      </c>
      <c r="AT87" s="2">
        <f t="shared" si="13"/>
        <v>0</v>
      </c>
    </row>
    <row r="88" spans="2:46" x14ac:dyDescent="0.25">
      <c r="B88" s="10" t="s">
        <v>21</v>
      </c>
      <c r="C88" s="2">
        <v>13</v>
      </c>
      <c r="I88" s="13" t="s">
        <v>52</v>
      </c>
      <c r="AH88" s="2">
        <f t="shared" si="11"/>
        <v>0</v>
      </c>
      <c r="AN88" s="2">
        <f t="shared" si="12"/>
        <v>0</v>
      </c>
      <c r="AT88" s="2">
        <f t="shared" si="13"/>
        <v>0</v>
      </c>
    </row>
    <row r="89" spans="2:46" x14ac:dyDescent="0.25">
      <c r="B89" s="10" t="s">
        <v>21</v>
      </c>
      <c r="C89" s="2">
        <v>14</v>
      </c>
      <c r="D89" s="3" t="s">
        <v>16</v>
      </c>
      <c r="I89" s="13"/>
      <c r="AH89" s="2">
        <f t="shared" si="11"/>
        <v>0</v>
      </c>
      <c r="AN89" s="2">
        <f t="shared" si="12"/>
        <v>0</v>
      </c>
      <c r="AT89" s="2">
        <f t="shared" si="13"/>
        <v>0</v>
      </c>
    </row>
    <row r="90" spans="2:46" ht="18.75" x14ac:dyDescent="0.3">
      <c r="B90" s="10" t="s">
        <v>21</v>
      </c>
      <c r="C90" s="2">
        <v>15</v>
      </c>
      <c r="D90" s="1" t="s">
        <v>222</v>
      </c>
      <c r="I90" s="92" t="s">
        <v>214</v>
      </c>
      <c r="L90" s="4"/>
      <c r="AH90" s="2">
        <f t="shared" si="11"/>
        <v>0</v>
      </c>
      <c r="AN90" s="2">
        <f t="shared" si="12"/>
        <v>0</v>
      </c>
      <c r="AT90" s="2">
        <f t="shared" si="13"/>
        <v>0</v>
      </c>
    </row>
    <row r="91" spans="2:46" x14ac:dyDescent="0.25">
      <c r="B91" s="10" t="s">
        <v>21</v>
      </c>
      <c r="C91" s="2">
        <v>16</v>
      </c>
      <c r="H91" s="3" t="s">
        <v>143</v>
      </c>
      <c r="I91" s="13"/>
      <c r="AH91" s="2">
        <f t="shared" si="11"/>
        <v>0</v>
      </c>
      <c r="AN91" s="2">
        <f t="shared" si="12"/>
        <v>0</v>
      </c>
      <c r="AT91" s="2" t="str">
        <f t="shared" si="13"/>
        <v>C8</v>
      </c>
    </row>
    <row r="92" spans="2:46" x14ac:dyDescent="0.25">
      <c r="B92" s="10" t="s">
        <v>21</v>
      </c>
      <c r="C92" s="2">
        <v>17</v>
      </c>
      <c r="D92" t="s">
        <v>53</v>
      </c>
      <c r="F92" s="3" t="s">
        <v>54</v>
      </c>
      <c r="I92" s="13"/>
      <c r="AH92" s="2" t="str">
        <f t="shared" si="11"/>
        <v>A23</v>
      </c>
      <c r="AN92" s="2">
        <f t="shared" si="12"/>
        <v>0</v>
      </c>
      <c r="AT92" s="2">
        <f t="shared" si="13"/>
        <v>0</v>
      </c>
    </row>
    <row r="93" spans="2:46" x14ac:dyDescent="0.25">
      <c r="B93" s="10" t="s">
        <v>21</v>
      </c>
      <c r="C93" s="2">
        <v>18</v>
      </c>
      <c r="G93" s="46" t="s">
        <v>66</v>
      </c>
      <c r="I93" s="74" t="s">
        <v>55</v>
      </c>
      <c r="AH93" s="2">
        <f t="shared" si="11"/>
        <v>0</v>
      </c>
      <c r="AN93" s="2" t="str">
        <f t="shared" si="12"/>
        <v>B20</v>
      </c>
      <c r="AT93" s="2">
        <f t="shared" si="13"/>
        <v>0</v>
      </c>
    </row>
    <row r="94" spans="2:46" x14ac:dyDescent="0.25">
      <c r="B94" s="10" t="s">
        <v>21</v>
      </c>
      <c r="C94" s="2">
        <v>19</v>
      </c>
      <c r="D94" s="68" t="s">
        <v>196</v>
      </c>
      <c r="F94" s="16"/>
      <c r="I94" s="74" t="s">
        <v>57</v>
      </c>
      <c r="AH94" s="2">
        <f t="shared" si="11"/>
        <v>0</v>
      </c>
      <c r="AN94" s="2">
        <f t="shared" si="12"/>
        <v>0</v>
      </c>
      <c r="AT94" s="2">
        <f t="shared" si="13"/>
        <v>0</v>
      </c>
    </row>
    <row r="95" spans="2:46" x14ac:dyDescent="0.25">
      <c r="B95" s="10" t="s">
        <v>21</v>
      </c>
      <c r="C95" s="2">
        <v>20</v>
      </c>
      <c r="G95" s="3" t="s">
        <v>150</v>
      </c>
      <c r="I95" s="13"/>
      <c r="AH95" s="2">
        <f t="shared" si="11"/>
        <v>0</v>
      </c>
      <c r="AN95" s="2" t="str">
        <f t="shared" si="12"/>
        <v>B19</v>
      </c>
      <c r="AT95" s="2">
        <f t="shared" si="13"/>
        <v>0</v>
      </c>
    </row>
    <row r="96" spans="2:46" x14ac:dyDescent="0.25">
      <c r="B96" s="10" t="s">
        <v>21</v>
      </c>
      <c r="C96" s="2">
        <v>21</v>
      </c>
      <c r="D96" s="46" t="s">
        <v>16</v>
      </c>
      <c r="I96" s="69" t="s">
        <v>221</v>
      </c>
      <c r="AH96" s="2">
        <f t="shared" si="11"/>
        <v>0</v>
      </c>
      <c r="AN96" s="2">
        <f t="shared" si="12"/>
        <v>0</v>
      </c>
      <c r="AT96" s="2">
        <f t="shared" si="13"/>
        <v>0</v>
      </c>
    </row>
    <row r="97" spans="2:46" x14ac:dyDescent="0.25">
      <c r="B97" s="10" t="s">
        <v>21</v>
      </c>
      <c r="C97" s="2">
        <v>22</v>
      </c>
      <c r="G97" s="3" t="s">
        <v>58</v>
      </c>
      <c r="I97" s="11"/>
      <c r="AH97" s="2">
        <f t="shared" si="11"/>
        <v>0</v>
      </c>
      <c r="AN97" s="2" t="str">
        <f t="shared" si="12"/>
        <v>B8</v>
      </c>
      <c r="AT97" s="2">
        <f t="shared" si="13"/>
        <v>0</v>
      </c>
    </row>
    <row r="98" spans="2:46" x14ac:dyDescent="0.25">
      <c r="B98" s="10" t="s">
        <v>21</v>
      </c>
      <c r="C98" s="2">
        <v>23</v>
      </c>
      <c r="D98" s="3" t="s">
        <v>16</v>
      </c>
      <c r="I98" s="11"/>
      <c r="AH98" s="2">
        <f t="shared" si="11"/>
        <v>0</v>
      </c>
      <c r="AN98" s="2">
        <f t="shared" si="12"/>
        <v>0</v>
      </c>
      <c r="AT98" s="2">
        <f t="shared" si="13"/>
        <v>0</v>
      </c>
    </row>
    <row r="99" spans="2:46" x14ac:dyDescent="0.25">
      <c r="B99" s="10" t="s">
        <v>21</v>
      </c>
      <c r="C99" s="2">
        <v>24</v>
      </c>
      <c r="D99" s="3" t="s">
        <v>16</v>
      </c>
      <c r="I99" s="11"/>
      <c r="AH99" s="2">
        <f t="shared" si="11"/>
        <v>0</v>
      </c>
      <c r="AN99" s="2">
        <f t="shared" si="12"/>
        <v>0</v>
      </c>
      <c r="AT99" s="2">
        <f t="shared" si="13"/>
        <v>0</v>
      </c>
    </row>
    <row r="100" spans="2:46" x14ac:dyDescent="0.25">
      <c r="B100" s="10" t="s">
        <v>21</v>
      </c>
      <c r="C100" s="2">
        <v>25</v>
      </c>
      <c r="D100" s="3" t="s">
        <v>16</v>
      </c>
      <c r="I100" s="11"/>
      <c r="AH100" s="2">
        <f t="shared" si="11"/>
        <v>0</v>
      </c>
      <c r="AN100" s="2">
        <f t="shared" si="12"/>
        <v>0</v>
      </c>
      <c r="AT100" s="2">
        <f t="shared" si="13"/>
        <v>0</v>
      </c>
    </row>
    <row r="101" spans="2:46" x14ac:dyDescent="0.25">
      <c r="B101" s="10" t="s">
        <v>21</v>
      </c>
      <c r="C101" s="2">
        <v>26</v>
      </c>
      <c r="D101" s="3" t="s">
        <v>16</v>
      </c>
      <c r="I101" s="11"/>
      <c r="AH101" s="2">
        <f t="shared" ref="AH101:AH132" si="14">F101</f>
        <v>0</v>
      </c>
      <c r="AN101" s="2">
        <f t="shared" si="12"/>
        <v>0</v>
      </c>
      <c r="AT101" s="2">
        <f t="shared" si="13"/>
        <v>0</v>
      </c>
    </row>
    <row r="102" spans="2:46" x14ac:dyDescent="0.25">
      <c r="B102" s="10" t="s">
        <v>21</v>
      </c>
      <c r="C102" s="2">
        <v>27</v>
      </c>
      <c r="D102" s="3" t="s">
        <v>16</v>
      </c>
      <c r="I102" s="11"/>
      <c r="AH102" s="2">
        <f t="shared" si="14"/>
        <v>0</v>
      </c>
      <c r="AN102" s="2">
        <f t="shared" si="12"/>
        <v>0</v>
      </c>
      <c r="AT102" s="2">
        <f t="shared" si="13"/>
        <v>0</v>
      </c>
    </row>
    <row r="103" spans="2:46" x14ac:dyDescent="0.25">
      <c r="B103" s="10" t="s">
        <v>21</v>
      </c>
      <c r="C103" s="2">
        <v>28</v>
      </c>
      <c r="D103" t="s">
        <v>59</v>
      </c>
      <c r="F103" s="3" t="s">
        <v>60</v>
      </c>
      <c r="I103" s="11"/>
      <c r="AH103" s="2" t="str">
        <f t="shared" si="14"/>
        <v>A24</v>
      </c>
      <c r="AN103" s="2">
        <f t="shared" si="12"/>
        <v>0</v>
      </c>
      <c r="AT103" s="2">
        <f t="shared" si="13"/>
        <v>0</v>
      </c>
    </row>
    <row r="104" spans="2:46" x14ac:dyDescent="0.25">
      <c r="B104" s="10" t="s">
        <v>21</v>
      </c>
      <c r="C104" s="2">
        <v>29</v>
      </c>
      <c r="H104" s="46" t="s">
        <v>202</v>
      </c>
      <c r="I104" s="11"/>
      <c r="N104" s="22"/>
      <c r="AH104" s="2">
        <f t="shared" si="14"/>
        <v>0</v>
      </c>
      <c r="AN104" s="2">
        <f t="shared" si="12"/>
        <v>0</v>
      </c>
      <c r="AT104" s="2" t="str">
        <f t="shared" si="13"/>
        <v>C14</v>
      </c>
    </row>
    <row r="105" spans="2:46" x14ac:dyDescent="0.25">
      <c r="B105" s="10" t="s">
        <v>21</v>
      </c>
      <c r="C105" s="2">
        <v>30</v>
      </c>
      <c r="F105" s="3" t="s">
        <v>61</v>
      </c>
      <c r="I105" s="11"/>
      <c r="AH105" s="2" t="str">
        <f t="shared" si="14"/>
        <v>A13</v>
      </c>
      <c r="AN105" s="2">
        <f t="shared" si="12"/>
        <v>0</v>
      </c>
      <c r="AT105" s="2">
        <f t="shared" si="13"/>
        <v>0</v>
      </c>
    </row>
    <row r="106" spans="2:46" x14ac:dyDescent="0.25">
      <c r="B106" s="10" t="s">
        <v>21</v>
      </c>
      <c r="C106" s="2">
        <v>31</v>
      </c>
      <c r="G106" s="3" t="s">
        <v>62</v>
      </c>
      <c r="I106" s="11"/>
      <c r="AH106" s="2">
        <f t="shared" si="14"/>
        <v>0</v>
      </c>
      <c r="AN106" s="2" t="str">
        <f t="shared" si="12"/>
        <v>B11</v>
      </c>
      <c r="AT106" s="2">
        <f t="shared" si="13"/>
        <v>0</v>
      </c>
    </row>
    <row r="107" spans="2:46" x14ac:dyDescent="0.25">
      <c r="B107" s="10" t="s">
        <v>21</v>
      </c>
      <c r="C107" s="2">
        <v>32</v>
      </c>
      <c r="D107" s="3" t="s">
        <v>16</v>
      </c>
      <c r="I107" s="11"/>
      <c r="AH107" s="2">
        <f t="shared" si="14"/>
        <v>0</v>
      </c>
      <c r="AN107" s="2">
        <f t="shared" si="12"/>
        <v>0</v>
      </c>
      <c r="AT107" s="2">
        <f t="shared" si="13"/>
        <v>0</v>
      </c>
    </row>
    <row r="108" spans="2:46" x14ac:dyDescent="0.25">
      <c r="B108" s="10" t="s">
        <v>21</v>
      </c>
      <c r="C108" s="2">
        <v>33</v>
      </c>
      <c r="F108" s="3" t="s">
        <v>63</v>
      </c>
      <c r="I108" s="11"/>
      <c r="AH108" s="2" t="str">
        <f t="shared" si="14"/>
        <v>A18</v>
      </c>
      <c r="AN108" s="2">
        <f t="shared" si="12"/>
        <v>0</v>
      </c>
      <c r="AT108" s="2">
        <f t="shared" si="13"/>
        <v>0</v>
      </c>
    </row>
    <row r="109" spans="2:46" x14ac:dyDescent="0.25">
      <c r="B109" s="10" t="s">
        <v>21</v>
      </c>
      <c r="C109" s="2">
        <v>34</v>
      </c>
      <c r="D109" s="3" t="s">
        <v>16</v>
      </c>
      <c r="I109" s="11"/>
      <c r="AH109" s="2">
        <f t="shared" si="14"/>
        <v>0</v>
      </c>
      <c r="AN109" s="2">
        <f t="shared" si="12"/>
        <v>0</v>
      </c>
      <c r="AT109" s="2">
        <f t="shared" si="13"/>
        <v>0</v>
      </c>
    </row>
    <row r="110" spans="2:46" x14ac:dyDescent="0.25">
      <c r="B110" s="17" t="s">
        <v>21</v>
      </c>
      <c r="C110" s="18">
        <v>35</v>
      </c>
      <c r="D110" s="46" t="s">
        <v>16</v>
      </c>
      <c r="E110" s="18"/>
      <c r="F110" s="20"/>
      <c r="G110" s="20"/>
      <c r="H110" s="20"/>
      <c r="I110" s="94" t="s">
        <v>218</v>
      </c>
      <c r="AH110" s="2">
        <f t="shared" si="14"/>
        <v>0</v>
      </c>
      <c r="AN110" s="2">
        <f t="shared" si="12"/>
        <v>0</v>
      </c>
      <c r="AT110" s="2">
        <f t="shared" si="13"/>
        <v>0</v>
      </c>
    </row>
    <row r="111" spans="2:46" x14ac:dyDescent="0.25">
      <c r="I111" s="3"/>
      <c r="AH111" s="2">
        <f t="shared" si="14"/>
        <v>0</v>
      </c>
      <c r="AN111" s="2">
        <f t="shared" si="12"/>
        <v>0</v>
      </c>
      <c r="AT111" s="2">
        <f t="shared" si="13"/>
        <v>0</v>
      </c>
    </row>
    <row r="112" spans="2:46" x14ac:dyDescent="0.25">
      <c r="B112" s="5" t="s">
        <v>64</v>
      </c>
      <c r="C112" s="6">
        <v>1</v>
      </c>
      <c r="D112" s="27" t="s">
        <v>11</v>
      </c>
      <c r="E112" s="6"/>
      <c r="F112" s="8"/>
      <c r="G112" s="8"/>
      <c r="H112" s="8"/>
      <c r="I112" s="28"/>
      <c r="AH112" s="2">
        <f t="shared" si="14"/>
        <v>0</v>
      </c>
      <c r="AN112" s="2">
        <f t="shared" si="12"/>
        <v>0</v>
      </c>
      <c r="AT112" s="2">
        <f t="shared" si="13"/>
        <v>0</v>
      </c>
    </row>
    <row r="113" spans="2:46" x14ac:dyDescent="0.25">
      <c r="B113" s="10" t="s">
        <v>64</v>
      </c>
      <c r="C113" s="2">
        <v>2</v>
      </c>
      <c r="G113" s="3" t="s">
        <v>65</v>
      </c>
      <c r="I113" s="13"/>
      <c r="AH113" s="2">
        <f t="shared" si="14"/>
        <v>0</v>
      </c>
      <c r="AN113" s="2" t="str">
        <f t="shared" si="12"/>
        <v>B23</v>
      </c>
      <c r="AT113" s="2">
        <f t="shared" si="13"/>
        <v>0</v>
      </c>
    </row>
    <row r="114" spans="2:46" x14ac:dyDescent="0.25">
      <c r="B114" s="10" t="s">
        <v>64</v>
      </c>
      <c r="C114" s="2">
        <v>3</v>
      </c>
      <c r="D114" s="12" t="s">
        <v>11</v>
      </c>
      <c r="I114" s="13"/>
      <c r="AH114" s="2">
        <f t="shared" si="14"/>
        <v>0</v>
      </c>
      <c r="AN114" s="2">
        <f t="shared" si="12"/>
        <v>0</v>
      </c>
      <c r="AT114" s="2">
        <f t="shared" si="13"/>
        <v>0</v>
      </c>
    </row>
    <row r="115" spans="2:46" x14ac:dyDescent="0.25">
      <c r="B115" s="10" t="s">
        <v>64</v>
      </c>
      <c r="C115" s="2">
        <v>4</v>
      </c>
      <c r="D115" s="3" t="s">
        <v>16</v>
      </c>
      <c r="I115" s="13"/>
      <c r="AH115" s="2">
        <f t="shared" si="14"/>
        <v>0</v>
      </c>
      <c r="AN115" s="2">
        <f t="shared" si="12"/>
        <v>0</v>
      </c>
      <c r="AT115" s="2">
        <f t="shared" si="13"/>
        <v>0</v>
      </c>
    </row>
    <row r="116" spans="2:46" x14ac:dyDescent="0.25">
      <c r="B116" s="10" t="s">
        <v>64</v>
      </c>
      <c r="C116" s="2">
        <v>5</v>
      </c>
      <c r="D116" s="3" t="s">
        <v>16</v>
      </c>
      <c r="I116" s="13"/>
      <c r="AH116" s="2">
        <f t="shared" si="14"/>
        <v>0</v>
      </c>
      <c r="AN116" s="2">
        <f t="shared" si="12"/>
        <v>0</v>
      </c>
      <c r="AT116" s="2">
        <f t="shared" si="13"/>
        <v>0</v>
      </c>
    </row>
    <row r="117" spans="2:46" x14ac:dyDescent="0.25">
      <c r="B117" s="10" t="s">
        <v>64</v>
      </c>
      <c r="C117" s="2">
        <v>6</v>
      </c>
      <c r="I117" s="69" t="s">
        <v>115</v>
      </c>
      <c r="J117" s="22"/>
      <c r="AH117" s="2">
        <f t="shared" si="14"/>
        <v>0</v>
      </c>
      <c r="AN117" s="2">
        <f t="shared" si="12"/>
        <v>0</v>
      </c>
      <c r="AT117" s="2">
        <f t="shared" si="13"/>
        <v>0</v>
      </c>
    </row>
    <row r="118" spans="2:46" x14ac:dyDescent="0.25">
      <c r="B118" s="10" t="s">
        <v>64</v>
      </c>
      <c r="C118" s="2">
        <v>7</v>
      </c>
      <c r="D118" s="14" t="s">
        <v>15</v>
      </c>
      <c r="I118" s="13"/>
      <c r="AH118" s="2">
        <f t="shared" si="14"/>
        <v>0</v>
      </c>
      <c r="AN118" s="2">
        <f t="shared" si="12"/>
        <v>0</v>
      </c>
      <c r="AT118" s="2">
        <f t="shared" si="13"/>
        <v>0</v>
      </c>
    </row>
    <row r="119" spans="2:46" x14ac:dyDescent="0.25">
      <c r="B119" s="10" t="s">
        <v>64</v>
      </c>
      <c r="C119" s="2">
        <v>8</v>
      </c>
      <c r="D119" s="16" t="s">
        <v>196</v>
      </c>
      <c r="I119" s="13"/>
      <c r="AH119" s="2">
        <f t="shared" si="14"/>
        <v>0</v>
      </c>
      <c r="AN119" s="2">
        <f t="shared" si="12"/>
        <v>0</v>
      </c>
      <c r="AT119" s="2">
        <f t="shared" si="13"/>
        <v>0</v>
      </c>
    </row>
    <row r="120" spans="2:46" x14ac:dyDescent="0.25">
      <c r="B120" s="10" t="s">
        <v>64</v>
      </c>
      <c r="C120" s="2">
        <v>9</v>
      </c>
      <c r="G120" s="46" t="s">
        <v>197</v>
      </c>
      <c r="I120" s="13"/>
      <c r="AH120" s="2">
        <f t="shared" si="14"/>
        <v>0</v>
      </c>
      <c r="AN120" s="2" t="str">
        <f t="shared" si="12"/>
        <v>B20 B18</v>
      </c>
      <c r="AT120" s="2">
        <f t="shared" si="13"/>
        <v>0</v>
      </c>
    </row>
    <row r="121" spans="2:46" x14ac:dyDescent="0.25">
      <c r="B121" s="10" t="s">
        <v>64</v>
      </c>
      <c r="C121" s="2">
        <v>10</v>
      </c>
      <c r="G121" s="3" t="s">
        <v>67</v>
      </c>
      <c r="I121" s="13"/>
      <c r="AH121" s="2">
        <f t="shared" si="14"/>
        <v>0</v>
      </c>
      <c r="AN121" s="2" t="str">
        <f t="shared" si="12"/>
        <v>B27</v>
      </c>
      <c r="AT121" s="2">
        <f t="shared" si="13"/>
        <v>0</v>
      </c>
    </row>
    <row r="122" spans="2:46" x14ac:dyDescent="0.25">
      <c r="B122" s="10" t="s">
        <v>64</v>
      </c>
      <c r="C122" s="2">
        <v>11</v>
      </c>
      <c r="G122" s="3" t="s">
        <v>68</v>
      </c>
      <c r="I122" s="13"/>
      <c r="AH122" s="2">
        <f t="shared" si="14"/>
        <v>0</v>
      </c>
      <c r="AN122" s="2" t="str">
        <f t="shared" si="12"/>
        <v>B28</v>
      </c>
      <c r="AT122" s="2">
        <f t="shared" si="13"/>
        <v>0</v>
      </c>
    </row>
    <row r="123" spans="2:46" x14ac:dyDescent="0.25">
      <c r="B123" s="10" t="s">
        <v>64</v>
      </c>
      <c r="C123" s="2">
        <v>12</v>
      </c>
      <c r="D123" s="3" t="s">
        <v>16</v>
      </c>
      <c r="I123" s="13"/>
      <c r="AH123" s="2">
        <f t="shared" si="14"/>
        <v>0</v>
      </c>
      <c r="AN123" s="2">
        <f t="shared" si="12"/>
        <v>0</v>
      </c>
      <c r="AT123" s="2">
        <f t="shared" si="13"/>
        <v>0</v>
      </c>
    </row>
    <row r="124" spans="2:46" x14ac:dyDescent="0.25">
      <c r="B124" s="10" t="s">
        <v>64</v>
      </c>
      <c r="C124" s="2">
        <v>13</v>
      </c>
      <c r="D124" s="3" t="s">
        <v>16</v>
      </c>
      <c r="I124" s="13"/>
      <c r="AH124" s="2">
        <f t="shared" si="14"/>
        <v>0</v>
      </c>
      <c r="AN124" s="2">
        <f t="shared" si="12"/>
        <v>0</v>
      </c>
      <c r="AT124" s="2">
        <f t="shared" si="13"/>
        <v>0</v>
      </c>
    </row>
    <row r="125" spans="2:46" x14ac:dyDescent="0.25">
      <c r="B125" s="10" t="s">
        <v>64</v>
      </c>
      <c r="C125" s="2">
        <v>14</v>
      </c>
      <c r="D125" s="3" t="s">
        <v>16</v>
      </c>
      <c r="I125" s="13"/>
      <c r="AH125" s="2">
        <f t="shared" si="14"/>
        <v>0</v>
      </c>
      <c r="AN125" s="2">
        <f t="shared" si="12"/>
        <v>0</v>
      </c>
      <c r="AT125" s="2">
        <f t="shared" si="13"/>
        <v>0</v>
      </c>
    </row>
    <row r="126" spans="2:46" x14ac:dyDescent="0.25">
      <c r="B126" s="10" t="s">
        <v>64</v>
      </c>
      <c r="C126" s="2">
        <v>15</v>
      </c>
      <c r="I126" s="69" t="s">
        <v>123</v>
      </c>
      <c r="J126" s="22"/>
      <c r="AH126" s="2">
        <f t="shared" si="14"/>
        <v>0</v>
      </c>
      <c r="AN126" s="2">
        <f t="shared" si="12"/>
        <v>0</v>
      </c>
      <c r="AT126" s="2">
        <f t="shared" si="13"/>
        <v>0</v>
      </c>
    </row>
    <row r="127" spans="2:46" x14ac:dyDescent="0.25">
      <c r="B127" s="10" t="s">
        <v>64</v>
      </c>
      <c r="C127" s="2">
        <v>16</v>
      </c>
      <c r="G127" s="3" t="s">
        <v>69</v>
      </c>
      <c r="I127" s="11"/>
      <c r="AH127" s="2">
        <f t="shared" si="14"/>
        <v>0</v>
      </c>
      <c r="AN127" s="2" t="str">
        <f t="shared" si="12"/>
        <v>B3</v>
      </c>
      <c r="AT127" s="2">
        <f t="shared" si="13"/>
        <v>0</v>
      </c>
    </row>
    <row r="128" spans="2:46" x14ac:dyDescent="0.25">
      <c r="B128" s="10" t="s">
        <v>64</v>
      </c>
      <c r="C128" s="2">
        <v>17</v>
      </c>
      <c r="G128" s="3" t="s">
        <v>70</v>
      </c>
      <c r="I128" s="11"/>
      <c r="AH128" s="2">
        <f t="shared" si="14"/>
        <v>0</v>
      </c>
      <c r="AN128" s="2" t="str">
        <f t="shared" si="12"/>
        <v>B1</v>
      </c>
      <c r="AT128" s="2">
        <f t="shared" si="13"/>
        <v>0</v>
      </c>
    </row>
    <row r="129" spans="2:50" x14ac:dyDescent="0.25">
      <c r="B129" s="10" t="s">
        <v>64</v>
      </c>
      <c r="C129" s="2">
        <v>18</v>
      </c>
      <c r="D129" s="3" t="s">
        <v>16</v>
      </c>
      <c r="I129" s="11"/>
      <c r="AH129" s="2">
        <f t="shared" si="14"/>
        <v>0</v>
      </c>
      <c r="AN129" s="2">
        <f t="shared" si="12"/>
        <v>0</v>
      </c>
      <c r="AT129" s="2">
        <f t="shared" si="13"/>
        <v>0</v>
      </c>
    </row>
    <row r="130" spans="2:50" x14ac:dyDescent="0.25">
      <c r="B130" s="10" t="s">
        <v>64</v>
      </c>
      <c r="C130" s="2">
        <v>19</v>
      </c>
      <c r="D130" s="3" t="s">
        <v>16</v>
      </c>
      <c r="I130" s="11"/>
      <c r="AH130" s="2">
        <f t="shared" si="14"/>
        <v>0</v>
      </c>
      <c r="AN130" s="2">
        <f t="shared" si="12"/>
        <v>0</v>
      </c>
      <c r="AT130" s="2">
        <f t="shared" si="13"/>
        <v>0</v>
      </c>
    </row>
    <row r="131" spans="2:50" x14ac:dyDescent="0.25">
      <c r="B131" s="10" t="s">
        <v>64</v>
      </c>
      <c r="C131" s="2">
        <v>20</v>
      </c>
      <c r="G131" s="3" t="s">
        <v>71</v>
      </c>
      <c r="I131" s="11"/>
      <c r="AH131" s="2">
        <f t="shared" si="14"/>
        <v>0</v>
      </c>
      <c r="AN131" s="2" t="str">
        <f t="shared" si="12"/>
        <v>B10</v>
      </c>
      <c r="AT131" s="2">
        <f t="shared" si="13"/>
        <v>0</v>
      </c>
    </row>
    <row r="132" spans="2:50" x14ac:dyDescent="0.25">
      <c r="B132" s="10" t="s">
        <v>64</v>
      </c>
      <c r="C132" s="2">
        <v>21</v>
      </c>
      <c r="D132" s="3" t="s">
        <v>16</v>
      </c>
      <c r="I132" s="11"/>
      <c r="AH132" s="2">
        <f t="shared" si="14"/>
        <v>0</v>
      </c>
      <c r="AN132" s="2">
        <f t="shared" si="12"/>
        <v>0</v>
      </c>
      <c r="AT132" s="2">
        <f t="shared" si="13"/>
        <v>0</v>
      </c>
    </row>
    <row r="133" spans="2:50" x14ac:dyDescent="0.25">
      <c r="B133" s="10" t="s">
        <v>64</v>
      </c>
      <c r="C133" s="2">
        <v>22</v>
      </c>
      <c r="G133" s="3" t="s">
        <v>72</v>
      </c>
      <c r="I133" s="11"/>
      <c r="AH133" s="2">
        <f t="shared" ref="AH133:AH142" si="15">F133</f>
        <v>0</v>
      </c>
      <c r="AN133" s="2" t="str">
        <f t="shared" ref="AN133:AN144" si="16">G133</f>
        <v>B12</v>
      </c>
      <c r="AT133" s="2">
        <f t="shared" ref="AT133:AT144" si="17">H133</f>
        <v>0</v>
      </c>
    </row>
    <row r="134" spans="2:50" x14ac:dyDescent="0.25">
      <c r="B134" s="10" t="s">
        <v>64</v>
      </c>
      <c r="C134" s="2">
        <v>23</v>
      </c>
      <c r="H134" s="3" t="s">
        <v>173</v>
      </c>
      <c r="I134" s="11"/>
      <c r="AH134" s="2">
        <f t="shared" si="15"/>
        <v>0</v>
      </c>
      <c r="AN134" s="2">
        <f t="shared" si="16"/>
        <v>0</v>
      </c>
      <c r="AT134" s="2" t="str">
        <f t="shared" si="17"/>
        <v>C11</v>
      </c>
    </row>
    <row r="135" spans="2:50" x14ac:dyDescent="0.25">
      <c r="B135" s="10" t="s">
        <v>64</v>
      </c>
      <c r="C135" s="2">
        <v>24</v>
      </c>
      <c r="G135" s="3" t="s">
        <v>74</v>
      </c>
      <c r="I135" s="11"/>
      <c r="AH135" s="2">
        <f t="shared" si="15"/>
        <v>0</v>
      </c>
      <c r="AN135" s="2" t="str">
        <f t="shared" si="16"/>
        <v>B5</v>
      </c>
      <c r="AT135" s="2">
        <f t="shared" si="17"/>
        <v>0</v>
      </c>
    </row>
    <row r="136" spans="2:50" x14ac:dyDescent="0.25">
      <c r="B136" s="10" t="s">
        <v>64</v>
      </c>
      <c r="C136" s="2">
        <v>25</v>
      </c>
      <c r="G136" s="3" t="s">
        <v>75</v>
      </c>
      <c r="I136" s="11"/>
      <c r="AH136" s="2">
        <f t="shared" si="15"/>
        <v>0</v>
      </c>
      <c r="AN136" s="2" t="str">
        <f t="shared" si="16"/>
        <v>B2</v>
      </c>
      <c r="AT136" s="2">
        <f t="shared" si="17"/>
        <v>0</v>
      </c>
    </row>
    <row r="137" spans="2:50" x14ac:dyDescent="0.25">
      <c r="B137" s="10" t="s">
        <v>64</v>
      </c>
      <c r="C137" s="2">
        <v>26</v>
      </c>
      <c r="D137" s="3" t="s">
        <v>16</v>
      </c>
      <c r="I137" s="11"/>
      <c r="AH137" s="2">
        <f t="shared" si="15"/>
        <v>0</v>
      </c>
      <c r="AN137" s="2">
        <f t="shared" si="16"/>
        <v>0</v>
      </c>
      <c r="AT137" s="2">
        <f t="shared" si="17"/>
        <v>0</v>
      </c>
    </row>
    <row r="138" spans="2:50" x14ac:dyDescent="0.25">
      <c r="B138" s="10" t="s">
        <v>64</v>
      </c>
      <c r="C138" s="2">
        <v>27</v>
      </c>
      <c r="D138" s="3" t="s">
        <v>16</v>
      </c>
      <c r="I138" s="11"/>
      <c r="AH138" s="2">
        <f t="shared" si="15"/>
        <v>0</v>
      </c>
      <c r="AN138" s="2">
        <f t="shared" si="16"/>
        <v>0</v>
      </c>
      <c r="AT138" s="2">
        <f t="shared" si="17"/>
        <v>0</v>
      </c>
    </row>
    <row r="139" spans="2:50" x14ac:dyDescent="0.25">
      <c r="B139" s="10" t="s">
        <v>64</v>
      </c>
      <c r="C139" s="2">
        <v>28</v>
      </c>
      <c r="D139" s="46" t="s">
        <v>16</v>
      </c>
      <c r="I139" s="69" t="s">
        <v>220</v>
      </c>
      <c r="AH139" s="2">
        <f t="shared" si="15"/>
        <v>0</v>
      </c>
      <c r="AN139" s="2">
        <f t="shared" si="16"/>
        <v>0</v>
      </c>
      <c r="AT139" s="2">
        <f t="shared" si="17"/>
        <v>0</v>
      </c>
    </row>
    <row r="140" spans="2:50" x14ac:dyDescent="0.25">
      <c r="B140" s="10" t="s">
        <v>64</v>
      </c>
      <c r="C140" s="2">
        <v>29</v>
      </c>
      <c r="H140" s="3" t="s">
        <v>172</v>
      </c>
      <c r="I140" s="11"/>
      <c r="AH140" s="2">
        <f t="shared" si="15"/>
        <v>0</v>
      </c>
      <c r="AN140" s="2">
        <f t="shared" si="16"/>
        <v>0</v>
      </c>
      <c r="AT140" s="2" t="str">
        <f t="shared" si="17"/>
        <v>C10</v>
      </c>
    </row>
    <row r="141" spans="2:50" x14ac:dyDescent="0.25">
      <c r="B141" s="10" t="s">
        <v>64</v>
      </c>
      <c r="C141" s="2">
        <v>30</v>
      </c>
      <c r="D141" s="16" t="s">
        <v>196</v>
      </c>
      <c r="I141" s="11"/>
      <c r="AH141" s="2">
        <f t="shared" si="15"/>
        <v>0</v>
      </c>
      <c r="AN141" s="2">
        <f t="shared" si="16"/>
        <v>0</v>
      </c>
      <c r="AT141" s="2">
        <f t="shared" si="17"/>
        <v>0</v>
      </c>
    </row>
    <row r="142" spans="2:50" x14ac:dyDescent="0.25">
      <c r="B142" s="17" t="s">
        <v>64</v>
      </c>
      <c r="C142" s="18">
        <v>31</v>
      </c>
      <c r="D142" s="16" t="s">
        <v>196</v>
      </c>
      <c r="E142" s="18"/>
      <c r="F142" s="20"/>
      <c r="G142" s="20"/>
      <c r="H142" s="20"/>
      <c r="I142" s="26"/>
      <c r="AH142" s="2">
        <f t="shared" si="15"/>
        <v>0</v>
      </c>
      <c r="AN142" s="2">
        <f t="shared" si="16"/>
        <v>0</v>
      </c>
      <c r="AT142" s="2">
        <f t="shared" si="17"/>
        <v>0</v>
      </c>
    </row>
    <row r="143" spans="2:50" x14ac:dyDescent="0.25">
      <c r="AH143" s="2">
        <f t="shared" ref="AH143:AH144" si="18">F143</f>
        <v>0</v>
      </c>
      <c r="AN143" s="2">
        <f t="shared" si="16"/>
        <v>0</v>
      </c>
      <c r="AT143" s="2">
        <f t="shared" si="17"/>
        <v>0</v>
      </c>
    </row>
    <row r="144" spans="2:50" s="81" customFormat="1" ht="18.75" x14ac:dyDescent="0.3">
      <c r="B144" s="79" t="s">
        <v>198</v>
      </c>
      <c r="C144" s="80"/>
      <c r="E144" s="80"/>
      <c r="F144" s="82"/>
      <c r="G144" s="82"/>
      <c r="H144" s="82"/>
      <c r="M144" s="79" t="s">
        <v>200</v>
      </c>
      <c r="AH144" s="80">
        <f t="shared" si="18"/>
        <v>0</v>
      </c>
      <c r="AI144" s="80"/>
      <c r="AJ144" s="80"/>
      <c r="AK144" s="80"/>
      <c r="AL144" s="82"/>
      <c r="AM144" s="80"/>
      <c r="AN144" s="80">
        <f t="shared" si="16"/>
        <v>0</v>
      </c>
      <c r="AO144" s="80"/>
      <c r="AP144" s="80"/>
      <c r="AQ144" s="80"/>
      <c r="AR144" s="82"/>
      <c r="AS144" s="80"/>
      <c r="AT144" s="80">
        <f t="shared" si="17"/>
        <v>0</v>
      </c>
      <c r="AU144" s="80"/>
      <c r="AV144" s="80"/>
      <c r="AW144" s="80"/>
      <c r="AX144" s="82"/>
    </row>
    <row r="145" spans="2:25" x14ac:dyDescent="0.25">
      <c r="B145" s="29"/>
      <c r="D145" t="s">
        <v>179</v>
      </c>
    </row>
    <row r="146" spans="2:25" x14ac:dyDescent="0.25">
      <c r="B146" s="29"/>
      <c r="X146" t="s">
        <v>211</v>
      </c>
      <c r="Y146" t="s">
        <v>212</v>
      </c>
    </row>
    <row r="147" spans="2:25" x14ac:dyDescent="0.25">
      <c r="B147" s="5" t="s">
        <v>76</v>
      </c>
      <c r="C147" s="6"/>
      <c r="D147" s="7" t="s">
        <v>77</v>
      </c>
      <c r="E147" s="6"/>
      <c r="F147" s="8"/>
      <c r="G147" s="8"/>
      <c r="H147" s="28" t="s">
        <v>40</v>
      </c>
      <c r="M147" s="30"/>
      <c r="N147" s="7"/>
      <c r="O147" s="7"/>
      <c r="P147" s="7"/>
      <c r="Q147" s="7"/>
      <c r="R147" s="7"/>
      <c r="S147" s="7"/>
      <c r="T147" s="7"/>
      <c r="U147" s="9"/>
      <c r="X147" t="s">
        <v>207</v>
      </c>
      <c r="Y147" t="s">
        <v>208</v>
      </c>
    </row>
    <row r="148" spans="2:25" x14ac:dyDescent="0.25">
      <c r="B148" s="10" t="s">
        <v>78</v>
      </c>
      <c r="C148" s="98"/>
      <c r="D148" s="101" t="s">
        <v>181</v>
      </c>
      <c r="E148" s="98"/>
      <c r="F148" s="99"/>
      <c r="G148" s="99"/>
      <c r="H148" s="69" t="s">
        <v>182</v>
      </c>
      <c r="M148" s="31"/>
      <c r="N148" s="1" t="s">
        <v>93</v>
      </c>
      <c r="U148" s="11"/>
      <c r="X148" t="s">
        <v>203</v>
      </c>
      <c r="Y148" t="s">
        <v>204</v>
      </c>
    </row>
    <row r="149" spans="2:25" x14ac:dyDescent="0.25">
      <c r="B149" s="10" t="s">
        <v>81</v>
      </c>
      <c r="C149" s="98"/>
      <c r="D149" s="102" t="s">
        <v>82</v>
      </c>
      <c r="E149" s="98"/>
      <c r="F149" s="99"/>
      <c r="G149" s="99" t="s">
        <v>169</v>
      </c>
      <c r="H149" s="13" t="s">
        <v>83</v>
      </c>
      <c r="M149" s="31"/>
      <c r="U149" s="11"/>
      <c r="X149" t="s">
        <v>209</v>
      </c>
      <c r="Y149" t="s">
        <v>210</v>
      </c>
    </row>
    <row r="150" spans="2:25" x14ac:dyDescent="0.25">
      <c r="B150" s="10" t="s">
        <v>84</v>
      </c>
      <c r="C150" s="98"/>
      <c r="D150" s="102" t="s">
        <v>85</v>
      </c>
      <c r="E150" s="98"/>
      <c r="F150" s="99"/>
      <c r="G150" s="99" t="s">
        <v>170</v>
      </c>
      <c r="H150" s="13" t="s">
        <v>86</v>
      </c>
      <c r="M150" s="31"/>
      <c r="N150" s="64">
        <v>1</v>
      </c>
      <c r="O150" s="65">
        <v>2</v>
      </c>
      <c r="P150" s="66">
        <v>3</v>
      </c>
      <c r="Q150" s="67">
        <v>4</v>
      </c>
      <c r="R150" s="75">
        <v>5</v>
      </c>
      <c r="S150" s="75">
        <v>6</v>
      </c>
      <c r="T150" s="75">
        <v>7</v>
      </c>
      <c r="U150" s="11"/>
      <c r="X150" t="s">
        <v>205</v>
      </c>
      <c r="Y150" t="s">
        <v>206</v>
      </c>
    </row>
    <row r="151" spans="2:25" x14ac:dyDescent="0.25">
      <c r="B151" s="10" t="s">
        <v>31</v>
      </c>
      <c r="C151" s="98"/>
      <c r="D151" s="102" t="s">
        <v>232</v>
      </c>
      <c r="E151" s="98"/>
      <c r="F151" s="99"/>
      <c r="G151" s="99"/>
      <c r="H151" s="13"/>
      <c r="M151" s="31"/>
      <c r="N151" s="64" t="s">
        <v>76</v>
      </c>
      <c r="O151" s="65" t="s">
        <v>78</v>
      </c>
      <c r="P151" s="66" t="s">
        <v>98</v>
      </c>
      <c r="Q151" s="67" t="s">
        <v>99</v>
      </c>
      <c r="R151" s="33" t="s">
        <v>139</v>
      </c>
      <c r="S151" s="33" t="s">
        <v>137</v>
      </c>
      <c r="T151" s="33" t="s">
        <v>219</v>
      </c>
      <c r="U151" s="11"/>
      <c r="X151" t="s">
        <v>141</v>
      </c>
      <c r="Y151" t="s">
        <v>216</v>
      </c>
    </row>
    <row r="152" spans="2:25" x14ac:dyDescent="0.25">
      <c r="B152" s="103"/>
      <c r="C152" s="98"/>
      <c r="D152" s="104"/>
      <c r="E152" s="98"/>
      <c r="F152" s="99"/>
      <c r="G152" s="99"/>
      <c r="H152" s="13"/>
      <c r="M152" s="31"/>
      <c r="N152" s="2"/>
      <c r="O152" s="2"/>
      <c r="P152" s="2"/>
      <c r="Q152" s="2"/>
      <c r="R152" s="2"/>
      <c r="S152" s="2"/>
      <c r="T152" s="2"/>
      <c r="U152" s="11"/>
    </row>
    <row r="153" spans="2:25" x14ac:dyDescent="0.25">
      <c r="B153" s="105" t="s">
        <v>96</v>
      </c>
      <c r="C153" s="98"/>
      <c r="D153" s="106" t="s">
        <v>246</v>
      </c>
      <c r="E153" s="98"/>
      <c r="F153" s="99"/>
      <c r="G153" s="99"/>
      <c r="H153" s="107"/>
      <c r="M153" s="31"/>
      <c r="N153" s="33">
        <v>8</v>
      </c>
      <c r="O153" s="75">
        <v>9</v>
      </c>
      <c r="P153" s="33">
        <v>10</v>
      </c>
      <c r="Q153" s="33">
        <v>11</v>
      </c>
      <c r="R153" s="33">
        <v>12</v>
      </c>
      <c r="S153" s="33">
        <v>13</v>
      </c>
      <c r="T153" s="2"/>
      <c r="U153" s="11"/>
    </row>
    <row r="154" spans="2:25" x14ac:dyDescent="0.25">
      <c r="B154" s="105" t="s">
        <v>17</v>
      </c>
      <c r="C154" s="98"/>
      <c r="D154" s="106" t="s">
        <v>247</v>
      </c>
      <c r="E154" s="98"/>
      <c r="F154" s="99"/>
      <c r="G154" s="99"/>
      <c r="H154" s="107"/>
      <c r="M154" s="31"/>
      <c r="N154" s="84" t="s">
        <v>107</v>
      </c>
      <c r="O154" s="91" t="s">
        <v>209</v>
      </c>
      <c r="P154" s="85" t="s">
        <v>109</v>
      </c>
      <c r="Q154" s="86" t="s">
        <v>110</v>
      </c>
      <c r="R154" s="87" t="s">
        <v>111</v>
      </c>
      <c r="S154" s="88" t="s">
        <v>112</v>
      </c>
      <c r="T154" s="2"/>
      <c r="U154" s="11"/>
    </row>
    <row r="155" spans="2:25" x14ac:dyDescent="0.25">
      <c r="B155" s="105" t="s">
        <v>18</v>
      </c>
      <c r="C155" s="98"/>
      <c r="D155" s="106" t="s">
        <v>248</v>
      </c>
      <c r="E155" s="98"/>
      <c r="F155" s="99"/>
      <c r="G155" s="99"/>
      <c r="H155" s="13" t="s">
        <v>125</v>
      </c>
      <c r="M155" s="31"/>
      <c r="N155" s="2"/>
      <c r="O155" s="2"/>
      <c r="P155" s="2"/>
      <c r="Q155" s="2"/>
      <c r="R155" s="2"/>
      <c r="S155" s="2"/>
      <c r="T155" s="2"/>
      <c r="U155" s="11"/>
    </row>
    <row r="156" spans="2:25" x14ac:dyDescent="0.25">
      <c r="B156" s="105" t="s">
        <v>19</v>
      </c>
      <c r="C156" s="98"/>
      <c r="D156" s="102" t="s">
        <v>224</v>
      </c>
      <c r="E156" s="98"/>
      <c r="F156" s="99"/>
      <c r="G156" s="99"/>
      <c r="H156" s="13"/>
      <c r="M156" s="31"/>
      <c r="N156" s="75">
        <v>14</v>
      </c>
      <c r="O156" s="75">
        <v>15</v>
      </c>
      <c r="P156" s="33">
        <v>16</v>
      </c>
      <c r="Q156" s="33">
        <v>17</v>
      </c>
      <c r="R156" s="33">
        <v>18</v>
      </c>
      <c r="S156" s="33">
        <v>19</v>
      </c>
      <c r="T156" s="2"/>
      <c r="U156" s="11"/>
    </row>
    <row r="157" spans="2:25" x14ac:dyDescent="0.25">
      <c r="B157" s="103"/>
      <c r="C157" s="98"/>
      <c r="D157" s="102"/>
      <c r="E157" s="98"/>
      <c r="F157" s="99"/>
      <c r="G157" s="99"/>
      <c r="H157" s="13"/>
      <c r="M157" s="31"/>
      <c r="N157" s="84" t="s">
        <v>108</v>
      </c>
      <c r="O157" s="91" t="s">
        <v>211</v>
      </c>
      <c r="P157" s="85" t="s">
        <v>119</v>
      </c>
      <c r="Q157" s="86" t="s">
        <v>120</v>
      </c>
      <c r="R157" s="87" t="s">
        <v>145</v>
      </c>
      <c r="S157" s="88" t="s">
        <v>121</v>
      </c>
      <c r="T157" s="2"/>
      <c r="U157" s="11"/>
    </row>
    <row r="158" spans="2:25" x14ac:dyDescent="0.25">
      <c r="B158" s="105" t="s">
        <v>92</v>
      </c>
      <c r="C158" s="98"/>
      <c r="D158" s="106" t="s">
        <v>249</v>
      </c>
      <c r="E158" s="98"/>
      <c r="F158" s="99"/>
      <c r="G158" s="99"/>
      <c r="H158" s="13"/>
      <c r="M158" s="31"/>
      <c r="N158" s="2"/>
      <c r="O158" s="2"/>
      <c r="P158" s="2"/>
      <c r="Q158" s="2"/>
      <c r="R158" s="2"/>
      <c r="S158" s="2"/>
      <c r="T158" s="2"/>
      <c r="U158" s="11"/>
    </row>
    <row r="159" spans="2:25" x14ac:dyDescent="0.25">
      <c r="B159" s="105" t="s">
        <v>213</v>
      </c>
      <c r="C159" s="98"/>
      <c r="D159" s="106" t="s">
        <v>250</v>
      </c>
      <c r="E159" s="98"/>
      <c r="F159" s="99"/>
      <c r="G159" s="99"/>
      <c r="H159" s="13"/>
      <c r="M159" s="31"/>
      <c r="N159" s="75">
        <v>20</v>
      </c>
      <c r="O159" s="75">
        <v>21</v>
      </c>
      <c r="P159" s="75">
        <v>22</v>
      </c>
      <c r="Q159" s="75">
        <v>23</v>
      </c>
      <c r="R159" s="75">
        <v>24</v>
      </c>
      <c r="S159" s="33">
        <v>25</v>
      </c>
      <c r="T159" s="33">
        <v>26</v>
      </c>
      <c r="U159" s="11"/>
    </row>
    <row r="160" spans="2:25" x14ac:dyDescent="0.25">
      <c r="B160" s="105" t="s">
        <v>124</v>
      </c>
      <c r="C160" s="98"/>
      <c r="D160" s="102" t="s">
        <v>225</v>
      </c>
      <c r="E160" s="98"/>
      <c r="F160" s="99"/>
      <c r="G160" s="99"/>
      <c r="H160" s="13"/>
      <c r="M160" s="31"/>
      <c r="N160" s="84" t="s">
        <v>117</v>
      </c>
      <c r="O160" s="33" t="s">
        <v>205</v>
      </c>
      <c r="P160" s="90" t="s">
        <v>207</v>
      </c>
      <c r="Q160" s="90" t="s">
        <v>203</v>
      </c>
      <c r="R160" s="93" t="s">
        <v>141</v>
      </c>
      <c r="S160" s="89" t="s">
        <v>130</v>
      </c>
      <c r="T160" s="67" t="s">
        <v>131</v>
      </c>
      <c r="U160" s="11"/>
    </row>
    <row r="161" spans="2:46" x14ac:dyDescent="0.25">
      <c r="B161" s="105" t="s">
        <v>20</v>
      </c>
      <c r="C161" s="98"/>
      <c r="D161" s="102" t="s">
        <v>225</v>
      </c>
      <c r="E161" s="98"/>
      <c r="F161" s="99"/>
      <c r="G161" s="99"/>
      <c r="H161" s="13"/>
      <c r="M161" s="31"/>
      <c r="U161" s="11"/>
    </row>
    <row r="162" spans="2:46" x14ac:dyDescent="0.25">
      <c r="B162" s="103"/>
      <c r="C162" s="98"/>
      <c r="D162" s="102"/>
      <c r="E162" s="98"/>
      <c r="F162" s="99"/>
      <c r="G162" s="99"/>
      <c r="H162" s="13"/>
      <c r="M162" s="41"/>
      <c r="N162" s="23"/>
      <c r="O162" s="23"/>
      <c r="P162" s="23"/>
      <c r="Q162" s="23"/>
      <c r="R162" s="23"/>
      <c r="S162" s="23"/>
      <c r="T162" s="23"/>
      <c r="U162" s="21"/>
    </row>
    <row r="163" spans="2:46" x14ac:dyDescent="0.25">
      <c r="B163" s="105" t="s">
        <v>122</v>
      </c>
      <c r="C163" s="98"/>
      <c r="D163" s="83" t="s">
        <v>227</v>
      </c>
      <c r="E163" s="98"/>
      <c r="F163" s="99"/>
      <c r="G163" s="99"/>
      <c r="H163" s="13"/>
    </row>
    <row r="164" spans="2:46" x14ac:dyDescent="0.25">
      <c r="B164" s="105" t="s">
        <v>134</v>
      </c>
      <c r="C164" s="98"/>
      <c r="D164" s="83" t="s">
        <v>228</v>
      </c>
      <c r="E164" s="98"/>
      <c r="F164" s="99"/>
      <c r="G164" s="99"/>
      <c r="H164" s="13"/>
    </row>
    <row r="165" spans="2:46" x14ac:dyDescent="0.25">
      <c r="B165" s="105" t="s">
        <v>135</v>
      </c>
      <c r="C165" s="98"/>
      <c r="D165" s="83" t="s">
        <v>229</v>
      </c>
      <c r="E165" s="98"/>
      <c r="F165" s="99"/>
      <c r="G165" s="99"/>
      <c r="H165" s="13"/>
    </row>
    <row r="166" spans="2:46" x14ac:dyDescent="0.25">
      <c r="B166" s="105" t="s">
        <v>226</v>
      </c>
      <c r="C166" s="98"/>
      <c r="D166" s="83" t="s">
        <v>230</v>
      </c>
      <c r="E166" s="98"/>
      <c r="F166" s="99"/>
      <c r="G166" s="99"/>
      <c r="H166" s="13"/>
    </row>
    <row r="167" spans="2:46" x14ac:dyDescent="0.25">
      <c r="B167" s="105"/>
      <c r="C167" s="98"/>
      <c r="D167" s="83"/>
      <c r="E167" s="98"/>
      <c r="F167" s="99"/>
      <c r="G167" s="99"/>
      <c r="H167" s="13"/>
    </row>
    <row r="168" spans="2:46" x14ac:dyDescent="0.25">
      <c r="B168" s="105" t="s">
        <v>92</v>
      </c>
      <c r="C168" s="98"/>
      <c r="D168" s="83" t="s">
        <v>237</v>
      </c>
      <c r="E168" s="98"/>
      <c r="F168" s="99"/>
      <c r="G168" s="99"/>
      <c r="H168" s="13"/>
    </row>
    <row r="169" spans="2:46" x14ac:dyDescent="0.25">
      <c r="B169" s="105" t="s">
        <v>235</v>
      </c>
      <c r="C169" s="98"/>
      <c r="D169" s="83" t="s">
        <v>233</v>
      </c>
      <c r="E169" s="98"/>
      <c r="F169" s="99"/>
      <c r="G169" s="99"/>
      <c r="H169" s="13"/>
    </row>
    <row r="170" spans="2:46" x14ac:dyDescent="0.25">
      <c r="B170" s="105" t="s">
        <v>234</v>
      </c>
      <c r="C170" s="98"/>
      <c r="D170" s="83" t="s">
        <v>236</v>
      </c>
      <c r="E170" s="98"/>
      <c r="F170" s="99"/>
      <c r="G170" s="99"/>
      <c r="H170" s="13"/>
      <c r="AH170" s="2">
        <f>F178</f>
        <v>0</v>
      </c>
      <c r="AN170" s="2">
        <f>G178</f>
        <v>0</v>
      </c>
    </row>
    <row r="171" spans="2:46" x14ac:dyDescent="0.25">
      <c r="B171" s="10" t="s">
        <v>239</v>
      </c>
      <c r="C171" s="98"/>
      <c r="D171" s="100" t="s">
        <v>238</v>
      </c>
      <c r="E171" s="98"/>
      <c r="F171" s="99"/>
      <c r="G171" s="99"/>
      <c r="H171" s="13"/>
      <c r="AH171" s="2">
        <f>F179</f>
        <v>0</v>
      </c>
      <c r="AN171" s="2">
        <f>G179</f>
        <v>0</v>
      </c>
      <c r="AT171" s="2" t="str">
        <f>H179</f>
        <v>C2  + C24</v>
      </c>
    </row>
    <row r="172" spans="2:46" x14ac:dyDescent="0.25">
      <c r="B172" s="108" t="s">
        <v>240</v>
      </c>
      <c r="C172" s="18"/>
      <c r="D172" s="109" t="s">
        <v>231</v>
      </c>
      <c r="E172" s="18"/>
      <c r="F172" s="20"/>
      <c r="G172" s="20"/>
      <c r="H172" s="26"/>
      <c r="AH172" s="2">
        <f>F180</f>
        <v>0</v>
      </c>
      <c r="AN172" s="2">
        <f>G180</f>
        <v>0</v>
      </c>
      <c r="AT172" s="2">
        <f>H180</f>
        <v>0</v>
      </c>
    </row>
    <row r="173" spans="2:46" x14ac:dyDescent="0.25">
      <c r="B173" s="97"/>
      <c r="C173" s="98"/>
      <c r="D173" s="83"/>
      <c r="E173" s="98"/>
      <c r="F173" s="99"/>
      <c r="G173" s="99"/>
      <c r="H173" s="99"/>
    </row>
    <row r="174" spans="2:46" x14ac:dyDescent="0.25">
      <c r="B174" s="97"/>
      <c r="C174" s="98"/>
      <c r="D174" s="83"/>
      <c r="E174" s="98"/>
      <c r="F174" s="99"/>
      <c r="G174" s="99"/>
      <c r="H174" s="99"/>
    </row>
    <row r="175" spans="2:46" x14ac:dyDescent="0.25">
      <c r="B175" s="97"/>
      <c r="C175" s="98"/>
      <c r="D175" s="83"/>
      <c r="E175" s="98"/>
      <c r="F175" s="99"/>
      <c r="G175" s="99"/>
      <c r="H175" s="99"/>
    </row>
    <row r="176" spans="2:46" x14ac:dyDescent="0.25">
      <c r="B176" s="29"/>
      <c r="AH176" s="2">
        <f>F181</f>
        <v>0</v>
      </c>
      <c r="AN176" s="2">
        <f>G181</f>
        <v>0</v>
      </c>
      <c r="AT176" s="2">
        <f>H181</f>
        <v>0</v>
      </c>
    </row>
    <row r="177" spans="2:48" ht="18.75" x14ac:dyDescent="0.3">
      <c r="D177" s="4" t="s">
        <v>199</v>
      </c>
      <c r="M177" s="4" t="s">
        <v>201</v>
      </c>
      <c r="AH177" s="2">
        <f>F182</f>
        <v>0</v>
      </c>
      <c r="AN177" s="2" t="str">
        <f>G182</f>
        <v>B22</v>
      </c>
      <c r="AT177" s="2" t="str">
        <f>H182</f>
        <v>C3</v>
      </c>
    </row>
    <row r="178" spans="2:48" x14ac:dyDescent="0.25">
      <c r="B178" s="5" t="s">
        <v>76</v>
      </c>
      <c r="C178" s="6"/>
      <c r="D178" s="7" t="s">
        <v>77</v>
      </c>
      <c r="E178" s="6"/>
      <c r="F178" s="8"/>
      <c r="G178" s="8"/>
      <c r="H178" s="28" t="s">
        <v>40</v>
      </c>
      <c r="AH178" s="2">
        <f>F183</f>
        <v>0</v>
      </c>
      <c r="AN178" s="2" t="str">
        <f>G183</f>
        <v>B21</v>
      </c>
      <c r="AT178" s="2" t="str">
        <f>H183</f>
        <v>C4</v>
      </c>
    </row>
    <row r="179" spans="2:48" x14ac:dyDescent="0.25">
      <c r="B179" s="10" t="s">
        <v>78</v>
      </c>
      <c r="D179" s="68" t="s">
        <v>181</v>
      </c>
      <c r="H179" s="69" t="s">
        <v>182</v>
      </c>
      <c r="M179" s="30"/>
      <c r="N179" s="7"/>
      <c r="O179" s="7"/>
      <c r="P179" s="7"/>
      <c r="Q179" s="7"/>
      <c r="R179" s="7"/>
      <c r="S179" s="7"/>
      <c r="T179" s="7"/>
      <c r="U179" s="9"/>
      <c r="AH179" s="2">
        <f>F184</f>
        <v>0</v>
      </c>
      <c r="AN179" s="2">
        <f>G184</f>
        <v>0</v>
      </c>
      <c r="AT179" s="2" t="str">
        <f>H184</f>
        <v>C20</v>
      </c>
    </row>
    <row r="180" spans="2:48" x14ac:dyDescent="0.25">
      <c r="B180" s="10"/>
      <c r="H180" s="13"/>
      <c r="M180" s="31"/>
      <c r="N180" s="1" t="s">
        <v>93</v>
      </c>
      <c r="U180" s="11"/>
      <c r="AH180" s="2">
        <f>F185</f>
        <v>0</v>
      </c>
      <c r="AN180" s="2">
        <f>G185</f>
        <v>0</v>
      </c>
      <c r="AT180" s="2" t="str">
        <f>H185</f>
        <v>C22</v>
      </c>
    </row>
    <row r="181" spans="2:48" x14ac:dyDescent="0.25">
      <c r="B181" s="10" t="s">
        <v>79</v>
      </c>
      <c r="D181" s="68" t="s">
        <v>80</v>
      </c>
      <c r="H181" s="13"/>
      <c r="M181" s="31"/>
      <c r="U181" s="11"/>
      <c r="AH181" s="2">
        <f>F186</f>
        <v>0</v>
      </c>
      <c r="AN181" s="2">
        <f>G186</f>
        <v>0</v>
      </c>
      <c r="AT181" s="2" t="str">
        <f>H186</f>
        <v>C23</v>
      </c>
    </row>
    <row r="182" spans="2:48" x14ac:dyDescent="0.25">
      <c r="B182" s="10" t="s">
        <v>81</v>
      </c>
      <c r="D182" t="s">
        <v>82</v>
      </c>
      <c r="G182" s="3" t="s">
        <v>169</v>
      </c>
      <c r="H182" s="13" t="s">
        <v>83</v>
      </c>
      <c r="M182" s="31"/>
      <c r="N182" s="64">
        <v>1</v>
      </c>
      <c r="O182" s="65">
        <v>2</v>
      </c>
      <c r="P182" s="66">
        <v>3</v>
      </c>
      <c r="Q182" s="67">
        <v>4</v>
      </c>
      <c r="R182" s="32">
        <v>5</v>
      </c>
      <c r="S182" s="32">
        <v>6</v>
      </c>
      <c r="T182" s="32">
        <v>7</v>
      </c>
      <c r="U182" s="11"/>
      <c r="AH182" s="2">
        <f>F187</f>
        <v>0</v>
      </c>
      <c r="AN182" s="2">
        <f>G187</f>
        <v>0</v>
      </c>
      <c r="AT182" s="2">
        <f>H187</f>
        <v>0</v>
      </c>
    </row>
    <row r="183" spans="2:48" x14ac:dyDescent="0.25">
      <c r="B183" s="10" t="s">
        <v>84</v>
      </c>
      <c r="D183" t="s">
        <v>85</v>
      </c>
      <c r="G183" s="3" t="s">
        <v>170</v>
      </c>
      <c r="H183" s="13" t="s">
        <v>86</v>
      </c>
      <c r="M183" s="31"/>
      <c r="N183" s="64" t="s">
        <v>76</v>
      </c>
      <c r="O183" s="65" t="s">
        <v>78</v>
      </c>
      <c r="P183" s="66" t="s">
        <v>98</v>
      </c>
      <c r="Q183" s="67" t="s">
        <v>99</v>
      </c>
      <c r="R183" s="77" t="s">
        <v>100</v>
      </c>
      <c r="S183" s="77" t="s">
        <v>101</v>
      </c>
      <c r="T183" s="77" t="s">
        <v>102</v>
      </c>
      <c r="U183" s="11"/>
      <c r="AH183" s="2">
        <f>F188</f>
        <v>0</v>
      </c>
      <c r="AN183" s="2" t="str">
        <f>G188</f>
        <v>Clutch Sw</v>
      </c>
      <c r="AT183" s="2">
        <f>H188</f>
        <v>0</v>
      </c>
    </row>
    <row r="184" spans="2:48" x14ac:dyDescent="0.25">
      <c r="B184" s="70" t="s">
        <v>87</v>
      </c>
      <c r="C184" s="71"/>
      <c r="D184" s="46" t="s">
        <v>180</v>
      </c>
      <c r="E184" s="71"/>
      <c r="F184" s="73"/>
      <c r="G184" s="73"/>
      <c r="H184" s="74" t="s">
        <v>73</v>
      </c>
      <c r="M184" s="31"/>
      <c r="U184" s="11"/>
      <c r="AH184" s="2">
        <f>F189</f>
        <v>0</v>
      </c>
      <c r="AN184" s="2" t="str">
        <f>G189</f>
        <v>Rear o2#2</v>
      </c>
      <c r="AT184" s="2">
        <f>H189</f>
        <v>0</v>
      </c>
    </row>
    <row r="185" spans="2:48" x14ac:dyDescent="0.25">
      <c r="B185" s="70" t="s">
        <v>88</v>
      </c>
      <c r="C185" s="71"/>
      <c r="D185" s="46" t="s">
        <v>180</v>
      </c>
      <c r="E185" s="71"/>
      <c r="F185" s="73"/>
      <c r="G185" s="73"/>
      <c r="H185" s="74" t="s">
        <v>89</v>
      </c>
      <c r="M185" s="31"/>
      <c r="O185" s="33">
        <v>8</v>
      </c>
      <c r="P185" s="33">
        <v>9</v>
      </c>
      <c r="Q185" s="33">
        <v>10</v>
      </c>
      <c r="R185" s="33">
        <v>11</v>
      </c>
      <c r="S185" s="33">
        <v>12</v>
      </c>
      <c r="T185" s="33">
        <v>13</v>
      </c>
      <c r="U185" s="11"/>
      <c r="AH185" s="2" t="str">
        <f>F190</f>
        <v>Powersteering Sw</v>
      </c>
      <c r="AN185" s="2">
        <f>G190</f>
        <v>0</v>
      </c>
      <c r="AT185" s="2">
        <f>H190</f>
        <v>0</v>
      </c>
    </row>
    <row r="186" spans="2:48" x14ac:dyDescent="0.25">
      <c r="B186" s="70" t="s">
        <v>90</v>
      </c>
      <c r="C186" s="71"/>
      <c r="D186" s="46" t="s">
        <v>180</v>
      </c>
      <c r="E186" s="71"/>
      <c r="F186" s="73"/>
      <c r="G186" s="73"/>
      <c r="H186" s="74" t="s">
        <v>91</v>
      </c>
      <c r="M186" s="31"/>
      <c r="O186" s="34" t="s">
        <v>107</v>
      </c>
      <c r="P186" s="35" t="s">
        <v>108</v>
      </c>
      <c r="Q186" s="36" t="s">
        <v>109</v>
      </c>
      <c r="R186" s="37" t="s">
        <v>110</v>
      </c>
      <c r="S186" s="38" t="s">
        <v>111</v>
      </c>
      <c r="T186" s="39" t="s">
        <v>112</v>
      </c>
      <c r="U186" s="11"/>
      <c r="AH186" s="2" t="str">
        <f>F191</f>
        <v>AC PSI Sw</v>
      </c>
      <c r="AN186" s="2">
        <f>G191</f>
        <v>0</v>
      </c>
      <c r="AT186" s="2">
        <f>H191</f>
        <v>0</v>
      </c>
    </row>
    <row r="187" spans="2:48" x14ac:dyDescent="0.25">
      <c r="B187" s="10" t="s">
        <v>92</v>
      </c>
      <c r="H187" s="13"/>
      <c r="M187" s="31"/>
      <c r="U187" s="11"/>
      <c r="AH187" s="2">
        <f>F192</f>
        <v>0</v>
      </c>
      <c r="AN187" s="2" t="str">
        <f>G192</f>
        <v>Brake Sw</v>
      </c>
      <c r="AT187" s="2">
        <f>H192</f>
        <v>0</v>
      </c>
    </row>
    <row r="188" spans="2:48" s="3" customFormat="1" x14ac:dyDescent="0.25">
      <c r="B188" s="10" t="s">
        <v>17</v>
      </c>
      <c r="C188" s="2"/>
      <c r="D188" t="s">
        <v>94</v>
      </c>
      <c r="E188" s="2"/>
      <c r="G188" s="3" t="s">
        <v>186</v>
      </c>
      <c r="H188" s="13"/>
      <c r="I188"/>
      <c r="J188"/>
      <c r="K188"/>
      <c r="L188"/>
      <c r="M188" s="31"/>
      <c r="N188"/>
      <c r="O188" s="33">
        <v>14</v>
      </c>
      <c r="P188" s="33">
        <v>15</v>
      </c>
      <c r="Q188" s="33">
        <v>16</v>
      </c>
      <c r="R188" s="33">
        <v>17</v>
      </c>
      <c r="S188" s="33">
        <v>18</v>
      </c>
      <c r="T188" s="33">
        <v>19</v>
      </c>
      <c r="U188" s="11"/>
      <c r="V188"/>
      <c r="W188"/>
      <c r="AH188" s="2">
        <f>F193</f>
        <v>0</v>
      </c>
      <c r="AN188" s="2" t="str">
        <f>G193</f>
        <v>Front o2</v>
      </c>
      <c r="AT188" s="2">
        <f>H193</f>
        <v>0</v>
      </c>
      <c r="AV188" s="2"/>
    </row>
    <row r="189" spans="2:48" x14ac:dyDescent="0.25">
      <c r="B189" s="10" t="s">
        <v>95</v>
      </c>
      <c r="D189" s="72" t="s">
        <v>223</v>
      </c>
      <c r="G189" s="73" t="s">
        <v>187</v>
      </c>
      <c r="H189" s="13"/>
      <c r="M189" s="31"/>
      <c r="O189" s="34" t="s">
        <v>117</v>
      </c>
      <c r="P189" s="77" t="s">
        <v>118</v>
      </c>
      <c r="Q189" s="36" t="s">
        <v>119</v>
      </c>
      <c r="R189" s="37" t="s">
        <v>120</v>
      </c>
      <c r="S189" s="38" t="s">
        <v>145</v>
      </c>
      <c r="T189" s="39" t="s">
        <v>121</v>
      </c>
      <c r="U189" s="11"/>
      <c r="AH189" s="2" t="str">
        <f>F194</f>
        <v>Neut Sw</v>
      </c>
      <c r="AN189" s="2">
        <f>G194</f>
        <v>0</v>
      </c>
      <c r="AT189" s="2">
        <f>H194</f>
        <v>0</v>
      </c>
    </row>
    <row r="190" spans="2:48" s="3" customFormat="1" x14ac:dyDescent="0.25">
      <c r="B190" s="10" t="s">
        <v>96</v>
      </c>
      <c r="C190" s="2"/>
      <c r="D190" s="72" t="s">
        <v>97</v>
      </c>
      <c r="E190" s="2"/>
      <c r="F190" s="73" t="s">
        <v>183</v>
      </c>
      <c r="H190" s="13"/>
      <c r="I190"/>
      <c r="J190"/>
      <c r="K190"/>
      <c r="L190"/>
      <c r="M190" s="31"/>
      <c r="N190"/>
      <c r="O190"/>
      <c r="P190"/>
      <c r="Q190"/>
      <c r="R190"/>
      <c r="S190"/>
      <c r="T190"/>
      <c r="U190" s="11"/>
      <c r="V190"/>
      <c r="AH190" s="2">
        <f>F195</f>
        <v>0</v>
      </c>
      <c r="AN190" s="2">
        <f>G195</f>
        <v>0</v>
      </c>
      <c r="AT190" s="2" t="str">
        <f>H195</f>
        <v>C5</v>
      </c>
      <c r="AV190" s="2"/>
    </row>
    <row r="191" spans="2:48" s="3" customFormat="1" x14ac:dyDescent="0.25">
      <c r="B191" s="10" t="s">
        <v>103</v>
      </c>
      <c r="C191" s="2"/>
      <c r="D191" s="72" t="s">
        <v>104</v>
      </c>
      <c r="E191" s="2"/>
      <c r="F191" s="73" t="s">
        <v>184</v>
      </c>
      <c r="H191" s="13"/>
      <c r="I191" s="95" t="s">
        <v>180</v>
      </c>
      <c r="J191" s="68"/>
      <c r="K191" s="68"/>
      <c r="L191"/>
      <c r="M191" s="31"/>
      <c r="N191" s="32">
        <v>20</v>
      </c>
      <c r="O191" s="32">
        <v>21</v>
      </c>
      <c r="P191" s="32">
        <v>22</v>
      </c>
      <c r="Q191" s="32">
        <v>23</v>
      </c>
      <c r="R191" s="32">
        <v>24</v>
      </c>
      <c r="S191" s="32">
        <v>25</v>
      </c>
      <c r="T191" s="32">
        <v>26</v>
      </c>
      <c r="U191" s="11"/>
      <c r="V191"/>
      <c r="W191"/>
      <c r="X191"/>
      <c r="Y191"/>
      <c r="AH191" s="2">
        <f>F196</f>
        <v>0</v>
      </c>
      <c r="AN191" s="2">
        <f>G196</f>
        <v>0</v>
      </c>
      <c r="AT191" s="2">
        <f>H196</f>
        <v>0</v>
      </c>
      <c r="AV191" s="2"/>
    </row>
    <row r="192" spans="2:48" x14ac:dyDescent="0.25">
      <c r="B192" s="10" t="s">
        <v>18</v>
      </c>
      <c r="D192" t="s">
        <v>105</v>
      </c>
      <c r="G192" s="3" t="s">
        <v>185</v>
      </c>
      <c r="H192" s="13"/>
      <c r="I192" s="95" t="s">
        <v>180</v>
      </c>
      <c r="J192" s="68"/>
      <c r="K192" s="68"/>
      <c r="M192" s="31"/>
      <c r="N192" s="78" t="s">
        <v>87</v>
      </c>
      <c r="O192" s="78" t="s">
        <v>126</v>
      </c>
      <c r="P192" s="78" t="s">
        <v>88</v>
      </c>
      <c r="Q192" s="78" t="s">
        <v>90</v>
      </c>
      <c r="R192" s="78" t="s">
        <v>78</v>
      </c>
      <c r="S192" s="40" t="s">
        <v>130</v>
      </c>
      <c r="T192" s="76" t="s">
        <v>131</v>
      </c>
      <c r="U192" s="11"/>
      <c r="AH192" s="2">
        <f>F197</f>
        <v>0</v>
      </c>
      <c r="AN192" s="2">
        <f>G197</f>
        <v>0</v>
      </c>
      <c r="AT192" s="2" t="str">
        <f>H197</f>
        <v>C6</v>
      </c>
      <c r="AV192" s="3"/>
    </row>
    <row r="193" spans="2:48" x14ac:dyDescent="0.25">
      <c r="B193" s="10" t="s">
        <v>19</v>
      </c>
      <c r="D193" s="72" t="s">
        <v>106</v>
      </c>
      <c r="G193" s="73" t="s">
        <v>188</v>
      </c>
      <c r="H193" s="13"/>
      <c r="I193" s="95" t="s">
        <v>180</v>
      </c>
      <c r="J193" s="68"/>
      <c r="K193" s="68"/>
      <c r="M193" s="31"/>
      <c r="U193" s="11"/>
      <c r="AH193" s="2">
        <f>F198</f>
        <v>0</v>
      </c>
      <c r="AN193" s="2">
        <f>G198</f>
        <v>0</v>
      </c>
      <c r="AT193" s="2" t="str">
        <f>H198</f>
        <v>C7</v>
      </c>
    </row>
    <row r="194" spans="2:48" x14ac:dyDescent="0.25">
      <c r="B194" s="10" t="s">
        <v>20</v>
      </c>
      <c r="D194" s="72" t="s">
        <v>113</v>
      </c>
      <c r="F194" s="73" t="s">
        <v>189</v>
      </c>
      <c r="H194" s="13"/>
      <c r="I194" s="95" t="s">
        <v>180</v>
      </c>
      <c r="J194" s="68"/>
      <c r="K194" s="68"/>
      <c r="M194" s="41"/>
      <c r="N194" s="23"/>
      <c r="O194" s="23"/>
      <c r="P194" s="23"/>
      <c r="Q194" s="23"/>
      <c r="R194" s="23"/>
      <c r="S194" s="23"/>
      <c r="T194" s="23"/>
      <c r="U194" s="21"/>
      <c r="AH194" s="2">
        <f>F199</f>
        <v>0</v>
      </c>
      <c r="AN194" s="2">
        <f>G199</f>
        <v>0</v>
      </c>
      <c r="AT194" s="2" t="str">
        <f>H199</f>
        <v>C21</v>
      </c>
      <c r="AV194" s="3"/>
    </row>
    <row r="195" spans="2:48" x14ac:dyDescent="0.25">
      <c r="B195" s="10" t="s">
        <v>114</v>
      </c>
      <c r="H195" s="74" t="s">
        <v>115</v>
      </c>
      <c r="AH195" s="2">
        <f>F200</f>
        <v>0</v>
      </c>
      <c r="AN195" s="2" t="str">
        <f>G200</f>
        <v>Cruise Com</v>
      </c>
      <c r="AT195" s="2">
        <f>H200</f>
        <v>0</v>
      </c>
    </row>
    <row r="196" spans="2:48" x14ac:dyDescent="0.25">
      <c r="B196" s="10" t="s">
        <v>30</v>
      </c>
      <c r="D196" s="72" t="s">
        <v>116</v>
      </c>
      <c r="H196" s="13"/>
      <c r="AH196" s="2">
        <f>F201</f>
        <v>0</v>
      </c>
      <c r="AN196" s="2" t="str">
        <f>G201</f>
        <v>Cruise Main</v>
      </c>
      <c r="AT196" s="2">
        <f>H201</f>
        <v>0</v>
      </c>
    </row>
    <row r="197" spans="2:48" x14ac:dyDescent="0.25">
      <c r="B197" s="10" t="s">
        <v>122</v>
      </c>
      <c r="H197" s="74" t="s">
        <v>123</v>
      </c>
      <c r="AH197" s="2">
        <f>F202</f>
        <v>0</v>
      </c>
      <c r="AN197" s="2">
        <f>G202</f>
        <v>0</v>
      </c>
      <c r="AT197" s="2">
        <f>H202</f>
        <v>0</v>
      </c>
    </row>
    <row r="198" spans="2:48" x14ac:dyDescent="0.25">
      <c r="B198" s="10" t="s">
        <v>124</v>
      </c>
      <c r="H198" s="74" t="s">
        <v>125</v>
      </c>
      <c r="AH198" s="2">
        <f>F203</f>
        <v>0</v>
      </c>
      <c r="AN198" s="2">
        <f>G203</f>
        <v>0</v>
      </c>
      <c r="AT198" s="2">
        <f>H203</f>
        <v>0</v>
      </c>
    </row>
    <row r="199" spans="2:48" x14ac:dyDescent="0.25">
      <c r="B199" s="10" t="s">
        <v>126</v>
      </c>
      <c r="C199" s="2" t="s">
        <v>127</v>
      </c>
      <c r="D199" s="72" t="s">
        <v>128</v>
      </c>
      <c r="H199" s="74" t="s">
        <v>129</v>
      </c>
      <c r="AH199" s="2">
        <f>F204</f>
        <v>0</v>
      </c>
      <c r="AN199" s="2">
        <f>G204</f>
        <v>0</v>
      </c>
      <c r="AT199" s="2">
        <f>H204</f>
        <v>0</v>
      </c>
    </row>
    <row r="200" spans="2:48" x14ac:dyDescent="0.25">
      <c r="B200" s="10" t="s">
        <v>28</v>
      </c>
      <c r="D200" t="s">
        <v>132</v>
      </c>
      <c r="G200" s="3" t="s">
        <v>190</v>
      </c>
      <c r="H200" s="13"/>
      <c r="I200" s="95" t="s">
        <v>180</v>
      </c>
      <c r="J200" s="68"/>
      <c r="K200" s="68"/>
      <c r="AH200" s="2">
        <f>F205</f>
        <v>0</v>
      </c>
      <c r="AN200" s="2" t="str">
        <f>G205</f>
        <v>Purge 2</v>
      </c>
      <c r="AT200" s="2">
        <f>H205</f>
        <v>0</v>
      </c>
    </row>
    <row r="201" spans="2:48" x14ac:dyDescent="0.25">
      <c r="B201" s="10" t="s">
        <v>31</v>
      </c>
      <c r="D201" t="s">
        <v>133</v>
      </c>
      <c r="G201" s="3" t="s">
        <v>191</v>
      </c>
      <c r="H201" s="13"/>
      <c r="I201" s="95" t="s">
        <v>180</v>
      </c>
      <c r="J201" s="68"/>
      <c r="K201" s="68"/>
      <c r="AH201" s="2">
        <f>F206</f>
        <v>0</v>
      </c>
      <c r="AN201" s="2" t="str">
        <f>G206</f>
        <v>Purge 1</v>
      </c>
      <c r="AT201" s="2">
        <f>H206</f>
        <v>0</v>
      </c>
    </row>
    <row r="202" spans="2:48" x14ac:dyDescent="0.25">
      <c r="B202" s="10" t="s">
        <v>29</v>
      </c>
      <c r="D202" s="3" t="s">
        <v>16</v>
      </c>
      <c r="H202" s="13"/>
      <c r="I202" s="95" t="s">
        <v>180</v>
      </c>
      <c r="J202" s="68"/>
      <c r="K202" s="68"/>
      <c r="AH202" s="2">
        <f>F207</f>
        <v>0</v>
      </c>
      <c r="AN202" s="2" t="str">
        <f>G207</f>
        <v>Accy Cut</v>
      </c>
      <c r="AT202" s="2">
        <f>H207</f>
        <v>0</v>
      </c>
    </row>
    <row r="203" spans="2:48" x14ac:dyDescent="0.25">
      <c r="B203" s="10" t="s">
        <v>134</v>
      </c>
      <c r="D203" s="3" t="s">
        <v>16</v>
      </c>
      <c r="H203" s="13"/>
    </row>
    <row r="204" spans="2:48" x14ac:dyDescent="0.25">
      <c r="B204" s="10" t="s">
        <v>135</v>
      </c>
      <c r="D204" s="3" t="s">
        <v>16</v>
      </c>
      <c r="H204" s="13"/>
    </row>
    <row r="205" spans="2:48" x14ac:dyDescent="0.25">
      <c r="B205" s="10" t="s">
        <v>136</v>
      </c>
      <c r="D205" s="72" t="s">
        <v>137</v>
      </c>
      <c r="G205" s="3" t="s">
        <v>193</v>
      </c>
      <c r="H205" s="13"/>
    </row>
    <row r="206" spans="2:48" x14ac:dyDescent="0.25">
      <c r="B206" s="10" t="s">
        <v>138</v>
      </c>
      <c r="D206" s="72" t="s">
        <v>139</v>
      </c>
      <c r="G206" s="3" t="s">
        <v>192</v>
      </c>
      <c r="H206" s="13"/>
    </row>
    <row r="207" spans="2:48" x14ac:dyDescent="0.25">
      <c r="B207" s="17" t="s">
        <v>140</v>
      </c>
      <c r="C207" s="18"/>
      <c r="D207" s="96" t="s">
        <v>141</v>
      </c>
      <c r="E207" s="18"/>
      <c r="F207" s="20"/>
      <c r="G207" s="20" t="s">
        <v>194</v>
      </c>
      <c r="H207" s="26"/>
    </row>
  </sheetData>
  <sortState xmlns:xlrd2="http://schemas.microsoft.com/office/spreadsheetml/2017/richdata2" ref="AV5:AV202">
    <sortCondition ref="AV5:AV20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</dc:creator>
  <cp:lastModifiedBy>Eric Koester</cp:lastModifiedBy>
  <dcterms:created xsi:type="dcterms:W3CDTF">2024-04-21T22:29:54Z</dcterms:created>
  <dcterms:modified xsi:type="dcterms:W3CDTF">2024-10-04T19:29:04Z</dcterms:modified>
</cp:coreProperties>
</file>